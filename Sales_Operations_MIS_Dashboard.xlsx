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a235b7dab1711385/Desktop/"/>
    </mc:Choice>
  </mc:AlternateContent>
  <xr:revisionPtr revIDLastSave="0" documentId="8_{44E12A88-A6E4-47E6-882E-FE320FB39BB2}" xr6:coauthVersionLast="47" xr6:coauthVersionMax="47" xr10:uidLastSave="{00000000-0000-0000-0000-000000000000}"/>
  <bookViews>
    <workbookView xWindow="5760" yWindow="3360" windowWidth="17280" windowHeight="8880" firstSheet="1" activeTab="1" xr2:uid="{00000000-000D-0000-FFFF-FFFF00000000}"/>
  </bookViews>
  <sheets>
    <sheet name="Instructions" sheetId="1" state="hidden" r:id="rId1"/>
    <sheet name="Raw_Data" sheetId="2" r:id="rId2"/>
    <sheet name="Weekly_report" sheetId="6" r:id="rId3"/>
    <sheet name="Region_Report" sheetId="7" r:id="rId4"/>
    <sheet name="Category_Report" sheetId="8" r:id="rId5"/>
    <sheet name="Dashboard" sheetId="9" r:id="rId6"/>
    <sheet name="Cleaned_Data" sheetId="3" r:id="rId7"/>
    <sheet name="Daily_MIS" sheetId="4" r:id="rId8"/>
    <sheet name="Employee_Performance" sheetId="5" r:id="rId9"/>
    <sheet name="Error_Checks" sheetId="10" r:id="rId10"/>
  </sheets>
  <definedNames>
    <definedName name="_xlnm._FilterDatabase" localSheetId="1" hidden="1">Raw_Data!$A$1:$I$601</definedName>
    <definedName name="Slicer_Category">#N/A</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9" l="1"/>
  <c r="B9" i="4"/>
  <c r="C5" i="10"/>
  <c r="C4" i="10"/>
  <c r="C3" i="10"/>
  <c r="C2" i="10"/>
  <c r="B5" i="10"/>
  <c r="B4" i="10"/>
  <c r="B3" i="10" a="1"/>
  <c r="B3" i="10" s="1"/>
  <c r="B2" i="10"/>
  <c r="G4" i="9"/>
  <c r="C4" i="9"/>
  <c r="A4" i="9"/>
  <c r="F2" i="5"/>
  <c r="F3" i="5"/>
  <c r="F4" i="5"/>
  <c r="F5" i="5"/>
  <c r="F6" i="5"/>
  <c r="F7" i="5"/>
  <c r="F8" i="5"/>
  <c r="F9" i="5"/>
  <c r="B8" i="4"/>
  <c r="B4" i="4"/>
  <c r="B3" i="4"/>
  <c r="B2" i="4"/>
  <c r="C4" i="5"/>
  <c r="D4" i="5" s="1"/>
  <c r="C2" i="5"/>
  <c r="E2" i="5" s="1"/>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C9" i="5" s="1"/>
  <c r="H13" i="3"/>
  <c r="C6" i="5" s="1"/>
  <c r="H12" i="3"/>
  <c r="C5" i="5" s="1"/>
  <c r="H11" i="3"/>
  <c r="H10" i="3"/>
  <c r="H9" i="3"/>
  <c r="C3" i="5" s="1"/>
  <c r="H8" i="3"/>
  <c r="C7" i="5" s="1"/>
  <c r="H7" i="3"/>
  <c r="H6" i="3"/>
  <c r="H5" i="3"/>
  <c r="H4" i="3"/>
  <c r="H3" i="3"/>
  <c r="H2" i="3"/>
  <c r="E5" i="5" l="1"/>
  <c r="D5" i="5"/>
  <c r="E7" i="5"/>
  <c r="D7" i="5"/>
  <c r="E3" i="5"/>
  <c r="D3" i="5"/>
  <c r="E9" i="5"/>
  <c r="D9" i="5"/>
  <c r="B7" i="4"/>
  <c r="B6" i="4"/>
  <c r="E6" i="5"/>
  <c r="D6" i="5"/>
  <c r="E4" i="5"/>
  <c r="D2" i="5"/>
  <c r="C8" i="5"/>
  <c r="E8" i="5" l="1"/>
  <c r="D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<sst xmlns="http://schemas.openxmlformats.org/spreadsheetml/2006/main" count="6101" uniqueCount="679">
  <si>
    <t>SALES &amp; OPERATIONS MIS REPORTING SYSTEM — PORTFOLIO DATA</t>
  </si>
  <si>
    <t>Purpose</t>
  </si>
  <si>
    <t>Practice a realistic Excel MIS workflow using synthetic sample records.</t>
  </si>
  <si>
    <t>Dataset</t>
  </si>
  <si>
    <t>600 synthetic orders dated 1–18 Oct 2026. No real customer data.</t>
  </si>
  <si>
    <t>Sheets</t>
  </si>
  <si>
    <t>Raw_Data, Cleaned_Data, Daily_MIS, Employee_Performance, Instructions.</t>
  </si>
  <si>
    <t>Day 1</t>
  </si>
  <si>
    <t>Review Raw_Data; verify date/number types; inspect blanks and duplicate Order_IDs. Keep Raw_Data unchanged. Clean in Cleaned_Data.</t>
  </si>
  <si>
    <t>Day 2</t>
  </si>
  <si>
    <t>Review Daily_MIS formulas. The sample target is illustrative; total sales shown cover all dataset rows, so adjust date filtering/reporting logic for a true daily report.</t>
  </si>
  <si>
    <t>Day 3</t>
  </si>
  <si>
    <t>Review Employee_Performance. Change employee targets as needed; Actual_Sales uses SUMIF and achievement/shortfall are formula-driven.</t>
  </si>
  <si>
    <t>Important</t>
  </si>
  <si>
    <t>This workbook is a starter template. Validate formulas and data before presenting it in a portfolio; do not claim business impact from synthetic data.</t>
  </si>
  <si>
    <t>Order_ID</t>
  </si>
  <si>
    <t>Order_Date</t>
  </si>
  <si>
    <t>Employee</t>
  </si>
  <si>
    <t>Region</t>
  </si>
  <si>
    <t>Category</t>
  </si>
  <si>
    <t>Quantity</t>
  </si>
  <si>
    <t>Unit_Price</t>
  </si>
  <si>
    <t>Sales</t>
  </si>
  <si>
    <t>Order_Status</t>
  </si>
  <si>
    <t>ORD0001</t>
  </si>
  <si>
    <t>Rahul Sharma</t>
  </si>
  <si>
    <t>East</t>
  </si>
  <si>
    <t>Furniture</t>
  </si>
  <si>
    <t>Pending</t>
  </si>
  <si>
    <t>ORD0002</t>
  </si>
  <si>
    <t>Priya Nair</t>
  </si>
  <si>
    <t>Central</t>
  </si>
  <si>
    <t>Home &amp; Kitchen</t>
  </si>
  <si>
    <t>Delivered</t>
  </si>
  <si>
    <t>ORD0003</t>
  </si>
  <si>
    <t>ORD0004</t>
  </si>
  <si>
    <t>North</t>
  </si>
  <si>
    <t>ORD0005</t>
  </si>
  <si>
    <t>South</t>
  </si>
  <si>
    <t>Shipped</t>
  </si>
  <si>
    <t>ORD0006</t>
  </si>
  <si>
    <t>West</t>
  </si>
  <si>
    <t>Accessories</t>
  </si>
  <si>
    <t>ORD0007</t>
  </si>
  <si>
    <t>Meera Iyer</t>
  </si>
  <si>
    <t>ORD0008</t>
  </si>
  <si>
    <t>Electronics</t>
  </si>
  <si>
    <t>ORD0009</t>
  </si>
  <si>
    <t>Amit Kumar</t>
  </si>
  <si>
    <t>Clothing</t>
  </si>
  <si>
    <t>ORD0010</t>
  </si>
  <si>
    <t>ORD0011</t>
  </si>
  <si>
    <t>Sneha Rao</t>
  </si>
  <si>
    <t>ORD0012</t>
  </si>
  <si>
    <t>Kiran Patel</t>
  </si>
  <si>
    <t>ORD0013</t>
  </si>
  <si>
    <t>Neha Reddy</t>
  </si>
  <si>
    <t>ORD0014</t>
  </si>
  <si>
    <t>ORD0015</t>
  </si>
  <si>
    <t>ORD0016</t>
  </si>
  <si>
    <t>ORD0017</t>
  </si>
  <si>
    <t>ORD0018</t>
  </si>
  <si>
    <t>Arjun Das</t>
  </si>
  <si>
    <t>ORD0019</t>
  </si>
  <si>
    <t>ORD0020</t>
  </si>
  <si>
    <t>ORD0021</t>
  </si>
  <si>
    <t>ORD0022</t>
  </si>
  <si>
    <t>ORD0023</t>
  </si>
  <si>
    <t>ORD0024</t>
  </si>
  <si>
    <t>ORD0025</t>
  </si>
  <si>
    <t>ORD0026</t>
  </si>
  <si>
    <t>ORD0027</t>
  </si>
  <si>
    <t>ORD0028</t>
  </si>
  <si>
    <t>ORD0029</t>
  </si>
  <si>
    <t>ORD0030</t>
  </si>
  <si>
    <t>ORD0031</t>
  </si>
  <si>
    <t>ORD0032</t>
  </si>
  <si>
    <t>ORD0033</t>
  </si>
  <si>
    <t>ORD0034</t>
  </si>
  <si>
    <t>Cancelled</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</si>
  <si>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</si>
  <si>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</si>
  <si>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</si>
  <si>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</si>
  <si>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</si>
  <si>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</si>
  <si>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</si>
  <si>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</si>
  <si>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</si>
  <si>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</si>
  <si>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</si>
  <si>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</si>
  <si>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</si>
  <si>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</si>
  <si>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</si>
  <si>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</si>
  <si>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</si>
  <si>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</si>
  <si>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</si>
  <si>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</si>
  <si>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</si>
  <si>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</si>
  <si>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</si>
  <si>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</si>
  <si>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</si>
  <si>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</si>
  <si>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</si>
  <si>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</si>
  <si>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</si>
  <si>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</si>
  <si>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</si>
  <si>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</si>
  <si>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</si>
  <si>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</si>
  <si>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</si>
  <si>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</si>
  <si>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</si>
  <si>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</si>
  <si>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</si>
  <si>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</si>
  <si>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</si>
  <si>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</si>
  <si>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</si>
  <si>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</si>
  <si>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</si>
  <si>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</si>
  <si>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</si>
  <si>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</si>
  <si>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</si>
  <si>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</si>
  <si>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</si>
  <si>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</si>
  <si>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</si>
  <si>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</si>
  <si>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</si>
  <si>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</si>
  <si>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</si>
  <si>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</si>
  <si>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</si>
  <si>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</si>
  <si>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</si>
  <si>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</si>
  <si>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</si>
  <si>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</si>
  <si>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</si>
  <si>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</si>
  <si>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</si>
  <si>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</si>
  <si>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</si>
  <si>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</si>
  <si>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</si>
  <si>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</si>
  <si>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</si>
  <si>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</si>
  <si>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</si>
  <si>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</si>
  <si>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</si>
  <si>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</si>
  <si>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</si>
  <si>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</si>
  <si>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</si>
  <si>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</si>
  <si>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</si>
  <si>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</si>
  <si>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</si>
  <si>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</si>
  <si>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</si>
  <si>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</si>
  <si>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</si>
  <si>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</si>
  <si>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</si>
  <si>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</si>
  <si>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</si>
  <si>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</si>
  <si>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</si>
  <si>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</si>
  <si>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</si>
  <si>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</si>
  <si>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</si>
  <si>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</si>
  <si>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</si>
  <si>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</si>
  <si>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</si>
  <si>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</si>
  <si>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</si>
  <si>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</si>
  <si>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</si>
  <si>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</si>
  <si>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</si>
  <si>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</si>
  <si>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</si>
  <si>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</si>
  <si>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</si>
  <si>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</si>
  <si>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</si>
  <si>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</si>
  <si>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</si>
  <si>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</si>
  <si>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</si>
  <si>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</si>
  <si>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</si>
  <si>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</si>
  <si>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</si>
  <si>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</si>
  <si>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</si>
  <si>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</si>
  <si>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</si>
  <si>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</si>
  <si>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</si>
  <si>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</si>
  <si>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</si>
  <si>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</si>
  <si>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</si>
  <si>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</si>
  <si>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</si>
  <si>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</si>
  <si>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</si>
  <si>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</si>
  <si>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</si>
  <si>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</si>
  <si>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</si>
  <si>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</si>
  <si>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</si>
  <si>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</si>
  <si>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</si>
  <si>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</si>
  <si>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</si>
  <si>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</si>
  <si>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</si>
  <si>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</si>
  <si>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</si>
  <si>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</si>
  <si>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</si>
  <si>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</si>
  <si>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</si>
  <si>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</si>
  <si>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</si>
  <si>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</si>
  <si>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</si>
  <si>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</si>
  <si>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</si>
  <si>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</si>
  <si>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</si>
  <si>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</si>
  <si>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</si>
  <si>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</si>
  <si>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</si>
  <si>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</si>
  <si>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</si>
  <si>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</si>
  <si>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</si>
  <si>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</si>
  <si>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</si>
  <si>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</si>
  <si>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</si>
  <si>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</si>
  <si>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</si>
  <si>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</si>
  <si>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</si>
  <si>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</si>
  <si>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</si>
  <si>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</si>
  <si>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</si>
  <si>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</si>
  <si>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</si>
  <si>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</si>
  <si>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</si>
  <si>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</si>
  <si>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</si>
  <si>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</si>
  <si>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</si>
  <si>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</si>
  <si>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</si>
  <si>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</si>
  <si>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</si>
  <si>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</si>
  <si>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</si>
  <si>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</si>
  <si>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</si>
  <si>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</si>
  <si>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</si>
  <si>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</si>
  <si>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</si>
  <si>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</si>
  <si>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</si>
  <si>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</si>
  <si>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</si>
  <si>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</si>
  <si>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</si>
  <si>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</si>
  <si>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</si>
  <si>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</si>
  <si>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</si>
  <si>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</si>
  <si>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</si>
  <si>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</si>
  <si>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</si>
  <si>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</si>
  <si>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</si>
  <si>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</si>
  <si>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</si>
  <si>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</si>
  <si>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</si>
  <si>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</si>
  <si>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</si>
  <si>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</si>
  <si>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</si>
  <si>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</si>
  <si>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</si>
  <si>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</si>
  <si>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</si>
  <si>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</si>
  <si>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</si>
  <si>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</si>
  <si>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</si>
  <si>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</si>
  <si>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</si>
  <si>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</si>
  <si>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</si>
  <si>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</si>
  <si>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</si>
  <si>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</si>
  <si>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</si>
  <si>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</si>
  <si>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</si>
  <si>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</si>
  <si>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</si>
  <si>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</si>
  <si>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</si>
  <si>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</si>
  <si>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</si>
  <si>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</si>
  <si>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</si>
  <si>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</si>
  <si>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</si>
  <si>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</si>
  <si>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</si>
  <si>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</si>
  <si>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</si>
  <si>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</si>
  <si>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</si>
  <si>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</si>
  <si>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</si>
  <si>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</si>
  <si>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</si>
  <si>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</si>
  <si>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</si>
  <si>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</si>
  <si>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</si>
  <si>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</si>
  <si>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</si>
  <si>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</si>
  <si>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</si>
  <si>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</si>
  <si>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</si>
  <si>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</si>
  <si>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</si>
  <si>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</si>
  <si>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</si>
  <si>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</si>
  <si>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</si>
  <si>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</si>
  <si>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</si>
  <si>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</si>
  <si>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</si>
  <si>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</si>
  <si>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</si>
  <si>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</si>
  <si>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</si>
  <si>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</si>
  <si>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</si>
  <si>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</si>
  <si>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</si>
  <si>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</si>
  <si>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</si>
  <si>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</si>
  <si>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</si>
  <si>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</si>
  <si>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</si>
  <si>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</si>
  <si>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</si>
  <si>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</si>
  <si>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</si>
  <si>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</si>
  <si>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</si>
  <si>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</si>
  <si>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</si>
  <si>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</si>
  <si>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</si>
  <si>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</si>
  <si>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</si>
  <si>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</si>
  <si>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</si>
  <si>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</si>
  <si>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</si>
  <si>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</si>
  <si>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</si>
  <si>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</si>
  <si>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</si>
  <si>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</si>
  <si>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</si>
  <si>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</si>
  <si>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</si>
  <si>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</si>
  <si>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</si>
  <si>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</si>
  <si>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</si>
  <si>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</si>
  <si>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</si>
  <si>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</si>
  <si>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</si>
  <si>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</si>
  <si>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</si>
  <si>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</si>
  <si>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</si>
  <si>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</si>
  <si>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</si>
  <si>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</si>
  <si>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</si>
  <si>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</si>
  <si>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</si>
  <si>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</si>
  <si>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</si>
  <si>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</si>
  <si>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</si>
  <si>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</si>
  <si>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</si>
  <si>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</si>
  <si>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</si>
  <si>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</si>
  <si>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</si>
  <si>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</si>
  <si>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</si>
  <si>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</si>
  <si>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</si>
  <si>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</si>
  <si>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</si>
  <si>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</si>
  <si>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</si>
  <si>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</si>
  <si>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</si>
  <si>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</si>
  <si>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</si>
  <si>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</si>
  <si>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</si>
  <si>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</si>
  <si>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</si>
  <si>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</si>
  <si>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</si>
  <si>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</si>
  <si>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</si>
  <si>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</si>
  <si>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</si>
  <si>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</si>
  <si>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</si>
  <si>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</si>
  <si>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</si>
  <si>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</si>
  <si>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</si>
  <si>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</si>
  <si>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</si>
  <si>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</si>
  <si>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</si>
  <si>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</si>
  <si>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</si>
  <si>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</si>
  <si>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</si>
  <si>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</si>
  <si>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</si>
  <si>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</si>
  <si>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</si>
  <si>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</si>
  <si>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</si>
  <si>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</si>
  <si>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</si>
  <si>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</si>
  <si>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</si>
  <si>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</si>
  <si>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</si>
  <si>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</si>
  <si>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</si>
  <si>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</si>
  <si>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</si>
  <si>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</si>
  <si>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</si>
  <si>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</si>
  <si>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</si>
  <si>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</si>
  <si>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</si>
  <si>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</si>
  <si>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</si>
  <si>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</si>
  <si>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</si>
  <si>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</si>
  <si>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</si>
  <si>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</si>
  <si>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</si>
  <si>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</si>
  <si>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</si>
  <si>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</si>
  <si>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</si>
  <si>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</si>
  <si>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</si>
  <si>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</si>
  <si>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</si>
  <si>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</si>
  <si>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</si>
  <si>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</si>
  <si>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</si>
  <si>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</si>
  <si>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</si>
  <si>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</si>
  <si>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</si>
  <si>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</si>
  <si>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</si>
  <si>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</si>
  <si>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</si>
  <si>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</si>
  <si>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</si>
  <si>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</si>
  <si>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</si>
  <si>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</si>
  <si>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</si>
  <si>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</si>
  <si>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</si>
  <si>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</si>
  <si>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</si>
  <si>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</si>
  <si>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</si>
  <si>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</si>
  <si>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</si>
  <si>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</si>
  <si>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</si>
  <si>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</si>
  <si>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</si>
  <si>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</si>
  <si>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</si>
  <si>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</si>
  <si>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</si>
  <si>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</si>
  <si>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</si>
  <si>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</si>
  <si>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</si>
  <si>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</si>
  <si>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</si>
  <si>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</si>
  <si>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</si>
  <si>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</si>
  <si>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</si>
  <si>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</si>
  <si>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</si>
  <si>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</si>
  <si>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</si>
  <si>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</si>
  <si>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</si>
  <si>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</si>
  <si>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</si>
  <si>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</si>
  <si>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</si>
  <si>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</si>
  <si>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</si>
  <si>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</si>
  <si>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</si>
  <si>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</si>
  <si>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</si>
  <si>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</si>
  <si>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</si>
  <si>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</si>
  <si>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</si>
  <si>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</si>
  <si>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</si>
  <si>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</si>
  <si>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</si>
  <si>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</si>
  <si>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</si>
  <si>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</si>
  <si>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</si>
  <si>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</si>
  <si>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</si>
  <si>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</si>
  <si>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</si>
  <si>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</si>
  <si>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</si>
  <si>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</si>
  <si>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</si>
  <si>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</si>
  <si>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</si>
  <si>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</si>
  <si>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</si>
  <si>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</si>
  <si>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</si>
  <si>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</si>
  <si>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</si>
  <si>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</si>
  <si>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</si>
  <si>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</si>
  <si>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</si>
  <si>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</si>
  <si>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</si>
  <si>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</si>
  <si>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</si>
  <si>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</si>
  <si>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</si>
  <si>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</si>
  <si>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</si>
  <si>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</si>
  <si>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</si>
  <si>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</si>
  <si>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</si>
  <si>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</si>
  <si>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</si>
  <si>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</si>
  <si>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</si>
  <si>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</si>
  <si>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</si>
  <si>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</si>
  <si>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</si>
  <si>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</si>
  <si>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</si>
  <si>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</si>
  <si>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</si>
  <si>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</si>
  <si>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</si>
  <si>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</si>
  <si>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</si>
  <si>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</si>
  <si>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</si>
  <si>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</si>
  <si>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</si>
  <si>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</si>
  <si>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</si>
  <si>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</si>
  <si>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</si>
  <si>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</si>
  <si>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</si>
  <si>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</si>
  <si>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</si>
  <si>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</si>
  <si>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</si>
  <si>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</si>
  <si>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</si>
  <si>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</si>
  <si>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</si>
  <si>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</si>
  <si>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</si>
  <si>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</si>
  <si>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DAILY SALES MIS REPORT</t>
  </si>
  <si>
    <t>Total Sales</t>
  </si>
  <si>
    <t>Note</t>
  </si>
  <si>
    <t>Total Orders</t>
  </si>
  <si>
    <t>Daily target is illustrative; update it to match the selected reporting date.</t>
  </si>
  <si>
    <t>Pending Orders</t>
  </si>
  <si>
    <t>Daily Target</t>
  </si>
  <si>
    <t>Achievement %</t>
  </si>
  <si>
    <t>Target Shortfall</t>
  </si>
  <si>
    <t>Target</t>
  </si>
  <si>
    <t>Actual_Sales</t>
  </si>
  <si>
    <t>Achievement_%</t>
  </si>
  <si>
    <t>Shortfall</t>
  </si>
  <si>
    <t>Reporting Date</t>
  </si>
  <si>
    <t>Daily Performance</t>
  </si>
  <si>
    <t>Performance Status</t>
  </si>
  <si>
    <t>Row Labels</t>
  </si>
  <si>
    <t>Grand Total</t>
  </si>
  <si>
    <t>Sum of Sales</t>
  </si>
  <si>
    <t>Column Labels</t>
  </si>
  <si>
    <t>SALES &amp; OPERATIONS MIS DASHBOARD</t>
  </si>
  <si>
    <t>\</t>
  </si>
  <si>
    <t>01-10-2026 - 07-10-2026</t>
  </si>
  <si>
    <t>08-10-2026 - 14-10-2026</t>
  </si>
  <si>
    <t>15-10-2026 - 19-10-2026</t>
  </si>
  <si>
    <t>Error Check</t>
  </si>
  <si>
    <t>Result</t>
  </si>
  <si>
    <t>Duplicate Order IDs</t>
  </si>
  <si>
    <t>Blank Order IDs</t>
  </si>
  <si>
    <t>Blank Employee Names</t>
  </si>
  <si>
    <t>Check Status</t>
  </si>
  <si>
    <t>Delivered Orders</t>
  </si>
  <si>
    <t xml:space="preserve">Daily  Target  Achievement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</si>
</sst>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quot;₹&quot;#,##0.00"/>
    <numFmt numFmtId="166" formatCode="0.0%"/>
    <numFmt numFmtId="167" formatCode="&quot;₹&quot;\ #,##0.00"/>
  </numFmts>
  <fonts count="11" x14ac:knownFonts="1">
    <font>
      <sz val="11"/>
      <color theme="1"/>
      <name val="Calibri"/>
      <family val="2"/>
      <scheme val="minor"/>
    </font>
    <font>
      <b/>
      <sz val="11"/>
      <color rgb="FFFFFFFF"/>
      <name val="Calibri"/>
    </font>
    <font>
      <b/>
      <sz val="16"/>
      <color rgb="FFFFFFFF"/>
      <name val="Calibri"/>
    </font>
    <font>
      <b/>
      <sz val="11"/>
      <name val="Calibri"/>
    </font>
    <font>
      <b/>
      <sz val="11"/>
      <color rgb="FF1F1F1F"/>
      <name val="Calibri"/>
    </font>
    <font>
      <b/>
      <sz val="11"/>
      <name val="Calibri"/>
      <family val="2"/>
    </font>
    <font>
      <sz val="11"/>
      <color theme="1"/>
      <name val="Calibri"/>
      <family val="2"/>
      <scheme val="minor"/>
    </font>
    <font>
      <b/>
      <sz val="11"/>
      <color theme="0"/>
      <name val="Calibri"/>
      <family val="2"/>
      <scheme val="minor"/>
    </font>
    <font>
      <sz val="11"/>
      <color theme="0"/>
      <name val="Calibri"/>
      <family val="2"/>
      <scheme val="minor"/>
    </font>
    <font>
      <b/>
      <sz val="16"/>
      <color theme="0"/>
      <name val="Calibri"/>
      <family val="2"/>
      <scheme val="minor"/>
    </font>
    <font>
      <b/>
      <sz val="11"/>
      <color theme="0"/>
      <name val="Calibri"/>
      <family val="2"/>
    </font>
  </fonts>
  <fills count="12">
    <fill>
      <patternFill patternType="none"/>
    </fill>
    <fill>
      <patternFill patternType="gray125"/>
    </fill>
    <fill>
      <patternFill patternType="solid">
        <fgColor rgb="FF1F4E78"/>
      </patternFill>
    </fill>
    <fill>
      <patternFill patternType="solid">
        <fgColor rgb="FF548235"/>
      </patternFill>
    </fill>
    <fill>
      <patternFill patternType="solid">
        <fgColor rgb="FFD9EAF7"/>
      </patternFill>
    </fill>
    <fill>
      <patternFill patternType="solid">
        <fgColor rgb="FFF3F6F9"/>
      </patternFill>
    </fill>
    <fill>
      <patternFill patternType="solid">
        <fgColor rgb="FF7030A0"/>
      </patternFill>
    </fill>
    <fill>
      <patternFill patternType="solid">
        <fgColor theme="8"/>
        <bgColor indexed="64"/>
      </patternFill>
    </fill>
    <fill>
      <patternFill patternType="solid">
        <fgColor theme="4"/>
        <bgColor indexed="64"/>
      </patternFill>
    </fill>
    <fill>
      <patternFill patternType="solid">
        <fgColor rgb="FF00B0F0"/>
        <bgColor indexed="64"/>
      </patternFill>
    </fill>
    <fill>
      <patternFill patternType="solid">
        <fgColor theme="0" tint="-0.14999847407452621"/>
        <bgColor indexed="64"/>
      </patternFill>
    </fill>
    <fill>
      <patternFill patternType="solid">
        <fgColor theme="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s>
  <cellStyleXfs count="2">
    <xf numFmtId="0" fontId="0" fillId="0" borderId="0"/>
    <xf numFmtId="9" fontId="6" fillId="0" borderId="0" applyFont="0" applyFill="0" applyBorder="0" applyAlignment="0" applyProtection="0"/>
  </cellStyleXfs>
  <cellXfs count="45">
    <xf numFmtId="0" fontId="0" fillId="0" borderId="0" xfId="0"/>
    <xf numFmtId="0" fontId="4" fillId="4" borderId="0" xfId="0" applyFont="1" applyFill="1"/>
    <xf numFmtId="0" fontId="0" fillId="0" borderId="0" xfId="0" applyAlignment="1">
      <alignment vertical="top" wrapText="1"/>
    </xf>
    <xf numFmtId="0" fontId="1" fillId="2" borderId="0" xfId="0" applyFont="1" applyFill="1" applyAlignment="1">
      <alignment horizontal="center"/>
    </xf>
    <xf numFmtId="165" fontId="0" fillId="0" borderId="0" xfId="0" applyNumberFormat="1"/>
    <xf numFmtId="0" fontId="1" fillId="3" borderId="0" xfId="0" applyFont="1" applyFill="1" applyAlignment="1">
      <alignment horizontal="center"/>
    </xf>
    <xf numFmtId="0" fontId="1" fillId="6" borderId="0" xfId="0" applyFont="1" applyFill="1" applyAlignment="1">
      <alignment horizontal="center"/>
    </xf>
    <xf numFmtId="166" fontId="0" fillId="0" borderId="0" xfId="0" applyNumberFormat="1"/>
    <xf numFmtId="14" fontId="1" fillId="3" borderId="0" xfId="0" applyNumberFormat="1" applyFont="1" applyFill="1" applyAlignment="1">
      <alignment horizontal="center"/>
    </xf>
    <xf numFmtId="14" fontId="0" fillId="0" borderId="0" xfId="0" applyNumberFormat="1"/>
    <xf numFmtId="0" fontId="3" fillId="4" borderId="1" xfId="0" applyFont="1" applyFill="1" applyBorder="1"/>
    <xf numFmtId="165" fontId="0" fillId="5" borderId="1" xfId="0" applyNumberFormat="1" applyFill="1" applyBorder="1"/>
    <xf numFmtId="0" fontId="0" fillId="5" borderId="1" xfId="0" applyFill="1" applyBorder="1"/>
    <xf numFmtId="166" fontId="0" fillId="5" borderId="1" xfId="0" applyNumberFormat="1" applyFill="1" applyBorder="1"/>
    <xf numFmtId="0" fontId="5" fillId="4" borderId="1" xfId="0" applyFont="1" applyFill="1" applyBorder="1"/>
    <xf numFmtId="0" fontId="0" fillId="0" borderId="1" xfId="0" applyBorder="1" applyAlignment="1">
      <alignment horizontal="center"/>
    </xf>
    <xf numFmtId="167" fontId="1" fillId="6" borderId="0" xfId="0" applyNumberFormat="1" applyFont="1" applyFill="1" applyAlignment="1">
      <alignment horizontal="center"/>
    </xf>
    <xf numFmtId="167" fontId="0" fillId="0" borderId="0" xfId="0" applyNumberFormat="1"/>
    <xf numFmtId="0" fontId="0" fillId="0" borderId="1" xfId="0" applyBorder="1"/>
    <xf numFmtId="15" fontId="0" fillId="0" borderId="1" xfId="0" applyNumberFormat="1" applyBorder="1"/>
    <xf numFmtId="0" fontId="0" fillId="0" borderId="0" xfId="0" pivotButton="1"/>
    <xf numFmtId="0" fontId="0" fillId="0" borderId="0" xfId="0" applyAlignment="1">
      <alignment horizontal="left"/>
    </xf>
    <xf numFmtId="167" fontId="0" fillId="0" borderId="0" xfId="0" pivotButton="1" applyNumberFormat="1"/>
    <xf numFmtId="2" fontId="0" fillId="0" borderId="0" xfId="0" applyNumberFormat="1"/>
    <xf numFmtId="0" fontId="0" fillId="0" borderId="4" xfId="0" applyBorder="1"/>
    <xf numFmtId="0" fontId="7" fillId="7" borderId="5" xfId="0" applyFont="1" applyFill="1" applyBorder="1"/>
    <xf numFmtId="0" fontId="7" fillId="7" borderId="6" xfId="0" applyFont="1" applyFill="1" applyBorder="1"/>
    <xf numFmtId="0" fontId="7" fillId="7" borderId="7" xfId="0" applyFont="1" applyFill="1" applyBorder="1"/>
    <xf numFmtId="0" fontId="0" fillId="0" borderId="1" xfId="0" applyBorder="1" applyAlignment="1">
      <alignment vertical="top" wrapText="1"/>
    </xf>
    <xf numFmtId="0" fontId="5" fillId="4" borderId="8" xfId="0" applyFont="1" applyFill="1" applyBorder="1"/>
    <xf numFmtId="167" fontId="8" fillId="9" borderId="0" xfId="0" applyNumberFormat="1" applyFont="1" applyFill="1" applyAlignment="1">
      <alignment horizontal="center"/>
    </xf>
    <xf numFmtId="2" fontId="8" fillId="9" borderId="0" xfId="0" applyNumberFormat="1" applyFont="1" applyFill="1" applyAlignment="1">
      <alignment horizontal="center"/>
    </xf>
    <xf numFmtId="0" fontId="8" fillId="9" borderId="0" xfId="0" applyFont="1" applyFill="1" applyAlignment="1">
      <alignment horizontal="center"/>
    </xf>
    <xf numFmtId="9" fontId="0" fillId="10" borderId="0" xfId="1" applyFont="1" applyFill="1" applyAlignment="1">
      <alignment horizontal="center"/>
    </xf>
    <xf numFmtId="0" fontId="0" fillId="10" borderId="0" xfId="0" applyFill="1" applyAlignment="1">
      <alignment horizontal="center"/>
    </xf>
    <xf numFmtId="167" fontId="0" fillId="10" borderId="0" xfId="0" applyNumberFormat="1" applyFill="1" applyAlignment="1">
      <alignment horizontal="center"/>
    </xf>
    <xf numFmtId="0" fontId="10" fillId="11" borderId="1" xfId="0" applyFont="1" applyFill="1" applyBorder="1"/>
    <xf numFmtId="0" fontId="7" fillId="11" borderId="1" xfId="0" applyFont="1" applyFill="1" applyBorder="1"/>
    <xf numFmtId="164" fontId="0" fillId="0" borderId="1" xfId="0" applyNumberFormat="1" applyBorder="1"/>
    <xf numFmtId="165" fontId="0" fillId="0" borderId="1" xfId="0" applyNumberFormat="1" applyBorder="1"/>
    <xf numFmtId="0" fontId="2" fillId="2" borderId="0" xfId="0" applyFont="1" applyFill="1"/>
    <xf numFmtId="0" fontId="0" fillId="0" borderId="0" xfId="0"/>
    <xf numFmtId="0" fontId="9" fillId="8" borderId="0" xfId="0" applyFont="1" applyFill="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cellXfs>
  <cellStyles count="2">
    <cellStyle name="Normal" xfId="0" builtinId="0"/>
    <cellStyle name="Percent" xfId="1" builtinId="5"/>
  </cellStyles>
  <dxfs count="20">
    <dxf>
      <font>
        <color rgb="FF9C0006"/>
      </font>
      <fill>
        <patternFill>
          <bgColor rgb="FFFFC7CE"/>
        </patternFill>
      </fill>
    </dxf>
    <dxf>
      <numFmt numFmtId="0" formatCode="General"/>
    </dxf>
    <dxf>
      <numFmt numFmtId="167" formatCode="&quot;₹&quot;\ #,##0.00"/>
    </dxf>
    <dxf>
      <numFmt numFmtId="167" formatCode="&quot;₹&quot;\ #,##0.00"/>
    </dxf>
    <dxf>
      <numFmt numFmtId="167" formatCode="&quot;₹&quot;\ #,##0.00"/>
    </dxf>
    <dxf>
      <numFmt numFmtId="19" formatCode="dd/mm/yyyy"/>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[Sales_Operations_MIS_Dashboard.xlsx]Weekly_report!PivotTable1</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Weekly</a:t>
            </a:r>
            <a:r>
              <a:rPr lang="en-IN" baseline="0"/>
              <a:t> Sales Trend by Region</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Weekly_report!$B$3:$B$4</c:f>
              <c:strCache>
                <c:ptCount val="1"/>
                <c:pt idx="0">
                  <c:v>Central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Weekly_report!$A$5:$A$8</c:f>
              <c:strCache>
                <c:ptCount val="3"/>
                <c:pt idx="0">
                  <c:v>01-10-2026 - 07-10-2026</c:v>
                </c:pt>
                <c:pt idx="1">
                  <c:v>08-10-2026 - 14-10-2026</c:v>
                </c:pt>
                <c:pt idx="2">
                  <c:v>15-10-2026 - 19-10-2026</c:v>
                </c:pt>
              </c:strCache>
            </c:strRef>
          </c:cat>
          <c:val>
            <c:numRef>
              <c:f>Weekly_report!$B$5:$B$8</c:f>
              <c:numCache>
                <c:formatCode>"₹"\ #,##0.00</c:formatCode>
                <c:ptCount val="3"/>
                <c:pt idx="0">
                  <c:v>1171180</c:v>
                </c:pt>
                <c:pt idx="1">
                  <c:v>2224613</c:v>
                </c:pt>
                <c:pt idx="2">
                  <c:v>937113</c:v>
                </c:pt>
              </c:numCache>
            </c:numRef>
          </c:val>
          <c:smooth val="0"/>
          <c:extLst>
            <c:ext xmlns:c16="http://schemas.microsoft.com/office/drawing/2014/chart" uri="{C3380CC4-5D6E-409C-BE32-E72D297353CC}">
              <c16:uniqueId val="{00000000-B1FB-4090-AB95-8549F5CD1942}"/>
            </c:ext>
          </c:extLst>
        </c:ser>
        <c:ser>
          <c:idx val="1"/>
          <c:order val="1"/>
          <c:tx>
            <c:strRef>
              <c:f>Weekly_report!$C$3:$C$4</c:f>
              <c:strCache>
                <c:ptCount val="1"/>
                <c:pt idx="0">
                  <c:v>East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Weekly_report!$A$5:$A$8</c:f>
              <c:strCache>
                <c:ptCount val="3"/>
                <c:pt idx="0">
                  <c:v>01-10-2026 - 07-10-2026</c:v>
                </c:pt>
                <c:pt idx="1">
                  <c:v>08-10-2026 - 14-10-2026</c:v>
                </c:pt>
                <c:pt idx="2">
                  <c:v>15-10-2026 - 19-10-2026</c:v>
                </c:pt>
              </c:strCache>
            </c:strRef>
          </c:cat>
          <c:val>
            <c:numRef>
              <c:f>Weekly_report!$C$5:$C$8</c:f>
              <c:numCache>
                <c:formatCode>"₹"\ #,##0.00</c:formatCode>
                <c:ptCount val="3"/>
                <c:pt idx="0">
                  <c:v>2307453</c:v>
                </c:pt>
                <c:pt idx="1">
                  <c:v>2179345</c:v>
                </c:pt>
                <c:pt idx="2">
                  <c:v>1073098</c:v>
                </c:pt>
              </c:numCache>
            </c:numRef>
          </c:val>
          <c:smooth val="0"/>
          <c:extLst>
            <c:ext xmlns:c16="http://schemas.microsoft.com/office/drawing/2014/chart" uri="{C3380CC4-5D6E-409C-BE32-E72D297353CC}">
              <c16:uniqueId val="{00000001-54AE-45E4-93AA-976B0B67EB51}"/>
            </c:ext>
          </c:extLst>
        </c:ser>
        <c:ser>
          <c:idx val="2"/>
          <c:order val="2"/>
          <c:tx>
            <c:strRef>
              <c:f>Weekly_report!$D$3:$D$4</c:f>
              <c:strCache>
                <c:ptCount val="1"/>
                <c:pt idx="0">
                  <c:v>North</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Weekly_report!$A$5:$A$8</c:f>
              <c:strCache>
                <c:ptCount val="3"/>
                <c:pt idx="0">
                  <c:v>01-10-2026 - 07-10-2026</c:v>
                </c:pt>
                <c:pt idx="1">
                  <c:v>08-10-2026 - 14-10-2026</c:v>
                </c:pt>
                <c:pt idx="2">
                  <c:v>15-10-2026 - 19-10-2026</c:v>
                </c:pt>
              </c:strCache>
            </c:strRef>
          </c:cat>
          <c:val>
            <c:numRef>
              <c:f>Weekly_report!$D$5:$D$8</c:f>
              <c:numCache>
                <c:formatCode>"₹"\ #,##0.00</c:formatCode>
                <c:ptCount val="3"/>
                <c:pt idx="0">
                  <c:v>2121255</c:v>
                </c:pt>
                <c:pt idx="1">
                  <c:v>1678941</c:v>
                </c:pt>
                <c:pt idx="2">
                  <c:v>1188759</c:v>
                </c:pt>
              </c:numCache>
            </c:numRef>
          </c:val>
          <c:smooth val="0"/>
          <c:extLst>
            <c:ext xmlns:c16="http://schemas.microsoft.com/office/drawing/2014/chart" uri="{C3380CC4-5D6E-409C-BE32-E72D297353CC}">
              <c16:uniqueId val="{00000002-54AE-45E4-93AA-976B0B67EB51}"/>
            </c:ext>
          </c:extLst>
        </c:ser>
        <c:ser>
          <c:idx val="3"/>
          <c:order val="3"/>
          <c:tx>
            <c:strRef>
              <c:f>Weekly_report!$E$3:$E$4</c:f>
              <c:strCache>
                <c:ptCount val="1"/>
                <c:pt idx="0">
                  <c:v>South</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Weekly_report!$A$5:$A$8</c:f>
              <c:strCache>
                <c:ptCount val="3"/>
                <c:pt idx="0">
                  <c:v>01-10-2026 - 07-10-2026</c:v>
                </c:pt>
                <c:pt idx="1">
                  <c:v>08-10-2026 - 14-10-2026</c:v>
                </c:pt>
                <c:pt idx="2">
                  <c:v>15-10-2026 - 19-10-2026</c:v>
                </c:pt>
              </c:strCache>
            </c:strRef>
          </c:cat>
          <c:val>
            <c:numRef>
              <c:f>Weekly_report!$E$5:$E$8</c:f>
              <c:numCache>
                <c:formatCode>"₹"\ #,##0.00</c:formatCode>
                <c:ptCount val="3"/>
                <c:pt idx="0">
                  <c:v>1021308</c:v>
                </c:pt>
                <c:pt idx="1">
                  <c:v>2379465</c:v>
                </c:pt>
                <c:pt idx="2">
                  <c:v>1581283</c:v>
                </c:pt>
              </c:numCache>
            </c:numRef>
          </c:val>
          <c:smooth val="0"/>
          <c:extLst>
            <c:ext xmlns:c16="http://schemas.microsoft.com/office/drawing/2014/chart" uri="{C3380CC4-5D6E-409C-BE32-E72D297353CC}">
              <c16:uniqueId val="{00000003-54AE-45E4-93AA-976B0B67EB51}"/>
            </c:ext>
          </c:extLst>
        </c:ser>
        <c:ser>
          <c:idx val="4"/>
          <c:order val="4"/>
          <c:tx>
            <c:strRef>
              <c:f>Weekly_report!$F$3:$F$4</c:f>
              <c:strCache>
                <c:ptCount val="1"/>
                <c:pt idx="0">
                  <c:v>West</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Weekly_report!$A$5:$A$8</c:f>
              <c:strCache>
                <c:ptCount val="3"/>
                <c:pt idx="0">
                  <c:v>01-10-2026 - 07-10-2026</c:v>
                </c:pt>
                <c:pt idx="1">
                  <c:v>08-10-2026 - 14-10-2026</c:v>
                </c:pt>
                <c:pt idx="2">
                  <c:v>15-10-2026 - 19-10-2026</c:v>
                </c:pt>
              </c:strCache>
            </c:strRef>
          </c:cat>
          <c:val>
            <c:numRef>
              <c:f>Weekly_report!$F$5:$F$8</c:f>
              <c:numCache>
                <c:formatCode>"₹"\ #,##0.00</c:formatCode>
                <c:ptCount val="3"/>
                <c:pt idx="0">
                  <c:v>2840343</c:v>
                </c:pt>
                <c:pt idx="1">
                  <c:v>2536030</c:v>
                </c:pt>
                <c:pt idx="2">
                  <c:v>1484049</c:v>
                </c:pt>
              </c:numCache>
            </c:numRef>
          </c:val>
          <c:smooth val="0"/>
          <c:extLst>
            <c:ext xmlns:c16="http://schemas.microsoft.com/office/drawing/2014/chart" uri="{C3380CC4-5D6E-409C-BE32-E72D297353CC}">
              <c16:uniqueId val="{00000004-54AE-45E4-93AA-976B0B67EB51}"/>
            </c:ext>
          </c:extLst>
        </c:ser>
        <c:dLbls>
          <c:showLegendKey val="0"/>
          <c:showVal val="0"/>
          <c:showCatName val="0"/>
          <c:showSerName val="0"/>
          <c:showPercent val="0"/>
          <c:showBubbleSize val="0"/>
        </c:dLbls>
        <c:marker val="1"/>
        <c:smooth val="0"/>
        <c:axId val="916983231"/>
        <c:axId val="800787727"/>
      </c:lineChart>
      <c:catAx>
        <c:axId val="9169832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0787727"/>
        <c:crosses val="autoZero"/>
        <c:auto val="1"/>
        <c:lblAlgn val="ctr"/>
        <c:lblOffset val="100"/>
        <c:noMultiLvlLbl val="0"/>
      </c:catAx>
      <c:valAx>
        <c:axId val="8007877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698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[Sales_Operations_MIS_Dashboard.xlsx]Category_Report!PivotTable3</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Category_Report!$B$3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Category_Report!$A$4:$A$9</c:f>
              <c:strCache>
                <c:ptCount val="5"/>
                <c:pt idx="0">
                  <c:v>Accessories</c:v>
                </c:pt>
                <c:pt idx="1">
                  <c:v>Clothing</c:v>
                </c:pt>
                <c:pt idx="2">
                  <c:v>Electronics</c:v>
                </c:pt>
                <c:pt idx="3">
                  <c:v>Furniture</c:v>
                </c:pt>
                <c:pt idx="4">
                  <c:v>Home &amp; Kitchen</c:v>
                </c:pt>
              </c:strCache>
            </c:strRef>
          </c:cat>
          <c:val>
            <c:numRef>
              <c:f>Category_Report!$B$4:$B$9</c:f>
              <c:numCache>
                <c:formatCode>"₹"\ #,##0.00</c:formatCode>
                <c:ptCount val="5"/>
                <c:pt idx="0">
                  <c:v>1395739</c:v>
                </c:pt>
                <c:pt idx="1">
                  <c:v>966830</c:v>
                </c:pt>
                <c:pt idx="2">
                  <c:v>12035348</c:v>
                </c:pt>
                <c:pt idx="3">
                  <c:v>10084425</c:v>
                </c:pt>
                <c:pt idx="4">
                  <c:v>2241893</c:v>
                </c:pt>
              </c:numCache>
            </c:numRef>
          </c:val>
          <c:extLst>
            <c:ext xmlns:c16="http://schemas.microsoft.com/office/drawing/2014/chart" uri="{C3380CC4-5D6E-409C-BE32-E72D297353CC}">
              <c16:uniqueId val="{00000000-0311-457F-97A5-BBAC985B6C11}"/>
            </c:ext>
          </c:extLst>
        </c:ser>
        <c:dLbls>
          <c:showLegendKey val="0"/>
          <c:showVal val="0"/>
          <c:showCatName val="0"/>
          <c:showSerName val="0"/>
          <c:showPercent val="0"/>
          <c:showBubbleSize val="0"/>
        </c:dLbls>
        <c:gapWidth val="115"/>
        <c:overlap val="-20"/>
        <c:axId val="920527023"/>
        <c:axId val="562429935"/>
      </c:barChart>
      <c:catAx>
        <c:axId val="9205270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429935"/>
        <c:crosses val="autoZero"/>
        <c:auto val="1"/>
        <c:lblAlgn val="ctr"/>
        <c:lblOffset val="100"/>
        <c:noMultiLvlLbl val="0"/>
      </c:catAx>
      <c:valAx>
        <c:axId val="562429935"/>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052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[Sales_Operations_MIS_Dashboard.xlsx]Region_Report!PivotTable2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Region_Report!$B$3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Region_Report!$A$4:$A$9</c:f>
              <c:strCache>
                <c:ptCount val="5"/>
                <c:pt idx="0">
                  <c:v>Central</c:v>
                </c:pt>
                <c:pt idx="1">
                  <c:v>East</c:v>
                </c:pt>
                <c:pt idx="2">
                  <c:v>North</c:v>
                </c:pt>
                <c:pt idx="3">
                  <c:v>South</c:v>
                </c:pt>
                <c:pt idx="4">
                  <c:v>West</c:v>
                </c:pt>
              </c:strCache>
            </c:strRef>
          </c:cat>
          <c:val>
            <c:numRef>
              <c:f>Region_Report!$B$4:$B$9</c:f>
              <c:numCache>
                <c:formatCode>"₹"\ #,##0.00</c:formatCode>
                <c:ptCount val="5"/>
                <c:pt idx="0">
                  <c:v>4332906</c:v>
                </c:pt>
                <c:pt idx="1">
                  <c:v>5559896</c:v>
                </c:pt>
                <c:pt idx="2">
                  <c:v>4988955</c:v>
                </c:pt>
                <c:pt idx="3">
                  <c:v>4982056</c:v>
                </c:pt>
                <c:pt idx="4">
                  <c:v>6860422</c:v>
                </c:pt>
              </c:numCache>
            </c:numRef>
          </c:val>
          <c:extLst>
            <c:ext xmlns:c16="http://schemas.microsoft.com/office/drawing/2014/chart" uri="{C3380CC4-5D6E-409C-BE32-E72D297353CC}">
              <c16:uniqueId val="{00000000-1EB8-43C7-893D-D7EEA4C62B79}"/>
            </c:ext>
          </c:extLst>
        </c:ser>
        <c:dLbls>
          <c:showLegendKey val="0"/>
          <c:showVal val="0"/>
          <c:showCatName val="0"/>
          <c:showSerName val="0"/>
          <c:showPercent val="0"/>
          <c:showBubbleSize val="0"/>
        </c:dLbls>
        <c:gapWidth val="100"/>
        <c:overlap val="-24"/>
        <c:axId val="913684879"/>
        <c:axId val="562343055"/>
      </c:barChart>
      <c:catAx>
        <c:axId val="9136848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343055"/>
        <c:crosses val="autoZero"/>
        <c:auto val="1"/>
        <c:lblAlgn val="ctr"/>
        <c:lblOffset val="100"/>
        <c:noMultiLvlLbl val="0"/>
      </c:catAx>
      <c:valAx>
        <c:axId val="56234305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368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179182</xdr:rowOff>
    </xdr:from>
    <xdr:to>
      <xdr:col>2</xdr:col>
      <xdr:colOff>1532965</xdr:colOff>
      <xdr:row>20</xdr:row>
      <xdr:rowOff>20595</xdr:rowOff>
    </xdr:to>
    <xdr:graphicFrame macro="">
      <xdr:nvGraphicFramePr>
        <xdr:cNvPr id="2" name="Chart 1">
          <a:extLst>
            <a:ext uri="{FF2B5EF4-FFF2-40B4-BE49-F238E27FC236}">
              <a16:creationId xmlns:a16="http://schemas.microsoft.com/office/drawing/2014/main" id="{2555F7F1-AC57-4AF9-87F9-84146C1A8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253453</xdr:colOff>
      <xdr:row>6</xdr:row>
      <xdr:rowOff>22313</xdr:rowOff>
    </xdr:from>
    <xdr:to>
      <xdr:col>6</xdr:col>
      <xdr:colOff>1422998</xdr:colOff>
      <xdr:row>19</xdr:row>
      <xdr:rowOff>175054</xdr:rowOff>
    </xdr:to>
    <xdr:graphicFrame macro="">
      <xdr:nvGraphicFramePr>
        <xdr:cNvPr id="4" name="Chart 3">
          <a:extLst>
            <a:ext uri="{FF2B5EF4-FFF2-40B4-BE49-F238E27FC236}">
              <a16:creationId xmlns:a16="http://schemas.microsoft.com/office/drawing/2014/main" id="{733DC0EA-69A7-48A3-8872-7123A6AF8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240082</xdr:colOff>
      <xdr:row>6</xdr:row>
      <xdr:rowOff>6265</xdr:rowOff>
    </xdr:from>
    <xdr:to>
      <xdr:col>12</xdr:col>
      <xdr:colOff>445300</xdr:colOff>
      <xdr:row>19</xdr:row>
      <xdr:rowOff>175054</xdr:rowOff>
    </xdr:to>
    <xdr:graphicFrame macro="">
      <xdr:nvGraphicFramePr>
        <xdr:cNvPr id="5" name="Chart 4">
          <a:extLst>
            <a:ext uri="{FF2B5EF4-FFF2-40B4-BE49-F238E27FC236}">
              <a16:creationId xmlns:a16="http://schemas.microsoft.com/office/drawing/2014/main" id="{85A3998F-F4BA-42D2-990A-46EDEFEAD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714642</xdr:colOff>
      <xdr:row>21</xdr:row>
      <xdr:rowOff>40313</xdr:rowOff>
    </xdr:from>
    <xdr:to>
      <xdr:col>4</xdr:col>
      <xdr:colOff>531185</xdr:colOff>
      <xdr:row>30</xdr:row>
      <xdr:rowOff>57729</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05A30DD-AF9A-4524-AA1D-54B6ED8B05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02950" y="4016390"/>
              <a:ext cx="2034158" cy="1687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67023</xdr:colOff>
      <xdr:row>21</xdr:row>
      <xdr:rowOff>27690</xdr:rowOff>
    </xdr:from>
    <xdr:to>
      <xdr:col>2</xdr:col>
      <xdr:colOff>76820</xdr:colOff>
      <xdr:row>30</xdr:row>
      <xdr:rowOff>48748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E32BF8B-C15B-4270-8C7B-A2AA8C4DAF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023" y="4003767"/>
              <a:ext cx="2198105" cy="1691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KARNAN" refreshedDate="46314.690372106481" createdVersion="8" refreshedVersion="8" minRefreshableVersion="3" recordCount="600" xr:uid="{D2910624-0B4F-4FE6-A9F4-6A53C753D106}">
  <cacheSource type="worksheet">
    <worksheetSource name="CleanedSalesTable"/>
  </cacheSource>
  <cacheFields count="10">
    <cacheField name="Order_ID" numFmtId="0">
      <sharedItems/>
    </cacheField>
    <cacheField name="Order_Date" numFmtId="14">
      <sharedItems containsSemiMixedTypes="0" containsNonDate="0" containsDate="1" containsString="0" minDate="2026-10-01T00:00:00" maxDate="2026-10-19T00:00:00" count="18">
        <d v="2026-10-04T00:00:00"/>
        <d v="2026-10-18T00:00:00"/>
        <d v="2026-10-08T00:00:00"/>
        <d v="2026-10-09T00:00:00"/>
        <d v="2026-10-11T00:00:00"/>
        <d v="2026-10-10T00:00:00"/>
        <d v="2026-10-12T00:00:00"/>
        <d v="2026-10-03T00:00:00"/>
        <d v="2026-10-13T00:00:00"/>
        <d v="2026-10-05T00:00:00"/>
        <d v="2026-10-14T00:00:00"/>
        <d v="2026-10-07T00:00:00"/>
        <d v="2026-10-01T00:00:00"/>
        <d v="2026-10-15T00:00:00"/>
        <d v="2026-10-16T00:00:00"/>
        <d v="2026-10-06T00:00:00"/>
        <d v="2026-10-02T00:00:00"/>
        <d v="2026-10-17T00:00:00"/>
      </sharedItems>
      <fieldGroup par="9"/>
    </cacheField>
    <cacheField name="Employee" numFmtId="0">
      <sharedItems/>
    </cacheField>
    <cacheField name="Region" numFmtId="0">
      <sharedItems count="5">
        <s v="East"/>
        <s v="Central"/>
        <s v="North"/>
        <s v="South"/>
        <s v="West"/>
      </sharedItems>
    </cacheField>
    <cacheField name="Category" numFmtId="0">
      <sharedItems count="5">
        <s v="Furniture"/>
        <s v="Home &amp; Kitchen"/>
        <s v="Accessories"/>
        <s v="Electronics"/>
        <s v="Clothing"/>
      </sharedItems>
    </cacheField>
    <cacheField name="Quantity" numFmtId="0">
      <sharedItems containsSemiMixedTypes="0" containsString="0" containsNumber="1" containsInteger="1" minValue="1" maxValue="8"/>
    </cacheField>
    <cacheField name="Unit_Price" numFmtId="165">
      <sharedItems containsSemiMixedTypes="0" containsString="0" containsNumber="1" containsInteger="1" minValue="165" maxValue="44580"/>
    </cacheField>
    <cacheField name="Sales" numFmtId="165">
      <sharedItems containsSemiMixedTypes="0" containsString="0" containsNumber="1" containsInteger="1" minValue="195" maxValue="335264"/>
    </cacheField>
    <cacheField name="Order_Status" numFmtId="0">
      <sharedItems/>
    </cacheField>
    <cacheField name="Days (Order_Date)" numFmtId="0" databaseField="0">
      <fieldGroup base="1">
        <rangePr groupBy="days" startDate="2026-10-01T00:00:00" endDate="2026-10-19T00:00:00" groupInterval="7"/>
        <groupItems count="5">
          <s v="&lt;01-10-2026"/>
          <s v="01-10-2026 - 07-10-2026"/>
          <s v="08-10-2026 - 14-10-2026"/>
          <s v="15-10-2026 - 19-10-2026"/>
          <s v="&gt;19-10-2026"/>
        </groupItems>
      </fieldGroup>
    </cacheField>
  </cacheFields>
  <extLst>
    <ext xmlns:x14="http://schemas.microsoft.com/office/spreadsheetml/2009/9/main" uri="{725AE2AE-9491-48be-B2B4-4EB974FC3084}">
      <x14:pivotCacheDefinition pivotCacheId="998337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ORD0001"/>
    <x v="0"/>
    <s v="Rahul Sharma"/>
    <x v="0"/>
    <x v="0"/>
    <n v="4"/>
    <n v="7072"/>
    <n v="28288"/>
    <s v="Delivered"/>
  </r>
  <r>
    <s v="ORD0002"/>
    <x v="1"/>
    <s v="Priya Nair"/>
    <x v="1"/>
    <x v="1"/>
    <n v="1"/>
    <n v="444"/>
    <n v="444"/>
    <s v="Delivered"/>
  </r>
  <r>
    <s v="ORD0003"/>
    <x v="2"/>
    <s v="Rahul Sharma"/>
    <x v="1"/>
    <x v="0"/>
    <n v="7"/>
    <n v="9723"/>
    <n v="68061"/>
    <s v="Delivered"/>
  </r>
  <r>
    <s v="ORD0004"/>
    <x v="3"/>
    <s v="Rahul Sharma"/>
    <x v="2"/>
    <x v="1"/>
    <n v="6"/>
    <n v="2476"/>
    <n v="14856"/>
    <s v="Delivered"/>
  </r>
  <r>
    <s v="ORD0005"/>
    <x v="4"/>
    <s v="Priya Nair"/>
    <x v="3"/>
    <x v="1"/>
    <n v="2"/>
    <n v="3140"/>
    <n v="6280"/>
    <s v="Shipped"/>
  </r>
  <r>
    <s v="ORD0006"/>
    <x v="3"/>
    <s v="Rahul Sharma"/>
    <x v="4"/>
    <x v="2"/>
    <n v="2"/>
    <n v="3200"/>
    <n v="6400"/>
    <s v="Delivered"/>
  </r>
  <r>
    <s v="ORD0007"/>
    <x v="5"/>
    <s v="Meera Iyer"/>
    <x v="1"/>
    <x v="0"/>
    <n v="2"/>
    <n v="4001"/>
    <n v="8002"/>
    <s v="Delivered"/>
  </r>
  <r>
    <s v="ORD0008"/>
    <x v="5"/>
    <s v="Priya Nair"/>
    <x v="2"/>
    <x v="3"/>
    <n v="7"/>
    <n v="19417"/>
    <n v="135919"/>
    <s v="Delivered"/>
  </r>
  <r>
    <s v="ORD0009"/>
    <x v="6"/>
    <s v="Amit Kumar"/>
    <x v="0"/>
    <x v="4"/>
    <n v="4"/>
    <n v="2995"/>
    <n v="11980"/>
    <s v="Delivered"/>
  </r>
  <r>
    <s v="ORD0010"/>
    <x v="7"/>
    <s v="Amit Kumar"/>
    <x v="1"/>
    <x v="0"/>
    <n v="3"/>
    <n v="17647"/>
    <n v="52941"/>
    <s v="Delivered"/>
  </r>
  <r>
    <s v="ORD0011"/>
    <x v="1"/>
    <s v="Sneha Rao"/>
    <x v="0"/>
    <x v="3"/>
    <n v="4"/>
    <n v="3303"/>
    <n v="13212"/>
    <s v="Shipped"/>
  </r>
  <r>
    <s v="ORD0012"/>
    <x v="8"/>
    <s v="Kiran Patel"/>
    <x v="3"/>
    <x v="0"/>
    <n v="6"/>
    <n v="9467"/>
    <n v="56802"/>
    <s v="Delivered"/>
  </r>
  <r>
    <s v="ORD0013"/>
    <x v="8"/>
    <s v="Neha Reddy"/>
    <x v="2"/>
    <x v="4"/>
    <n v="3"/>
    <n v="1260"/>
    <n v="3780"/>
    <s v="Delivered"/>
  </r>
  <r>
    <s v="ORD0014"/>
    <x v="1"/>
    <s v="Kiran Patel"/>
    <x v="1"/>
    <x v="1"/>
    <n v="7"/>
    <n v="3165"/>
    <n v="22155"/>
    <s v="Delivered"/>
  </r>
  <r>
    <s v="ORD0015"/>
    <x v="9"/>
    <s v="Neha Reddy"/>
    <x v="3"/>
    <x v="3"/>
    <n v="2"/>
    <n v="11216"/>
    <n v="22432"/>
    <s v="Pending"/>
  </r>
  <r>
    <s v="ORD0016"/>
    <x v="10"/>
    <s v="Priya Nair"/>
    <x v="4"/>
    <x v="1"/>
    <n v="8"/>
    <n v="4534"/>
    <n v="36272"/>
    <s v="Delivered"/>
  </r>
  <r>
    <s v="ORD0017"/>
    <x v="1"/>
    <s v="Rahul Sharma"/>
    <x v="3"/>
    <x v="2"/>
    <n v="5"/>
    <n v="5350"/>
    <n v="26750"/>
    <s v="Delivered"/>
  </r>
  <r>
    <s v="ORD0018"/>
    <x v="5"/>
    <s v="Arjun Das"/>
    <x v="2"/>
    <x v="1"/>
    <n v="1"/>
    <n v="6115"/>
    <n v="6115"/>
    <s v="Shipped"/>
  </r>
  <r>
    <s v="ORD0019"/>
    <x v="3"/>
    <s v="Amit Kumar"/>
    <x v="1"/>
    <x v="3"/>
    <n v="5"/>
    <n v="43074"/>
    <n v="215370"/>
    <s v="Delivered"/>
  </r>
  <r>
    <s v="ORD0020"/>
    <x v="11"/>
    <s v="Amit Kumar"/>
    <x v="0"/>
    <x v="0"/>
    <n v="1"/>
    <n v="22126"/>
    <n v="22126"/>
    <s v="Delivered"/>
  </r>
  <r>
    <s v="ORD0021"/>
    <x v="12"/>
    <s v="Priya Nair"/>
    <x v="0"/>
    <x v="4"/>
    <n v="4"/>
    <n v="487"/>
    <n v="1948"/>
    <s v="Delivered"/>
  </r>
  <r>
    <s v="ORD0022"/>
    <x v="7"/>
    <s v="Priya Nair"/>
    <x v="4"/>
    <x v="3"/>
    <n v="3"/>
    <n v="9614"/>
    <n v="28842"/>
    <s v="Pending"/>
  </r>
  <r>
    <s v="ORD0023"/>
    <x v="1"/>
    <s v="Amit Kumar"/>
    <x v="0"/>
    <x v="2"/>
    <n v="7"/>
    <n v="1835"/>
    <n v="12845"/>
    <s v="Shipped"/>
  </r>
  <r>
    <s v="ORD0024"/>
    <x v="11"/>
    <s v="Kiran Patel"/>
    <x v="4"/>
    <x v="4"/>
    <n v="8"/>
    <n v="2369"/>
    <n v="18952"/>
    <s v="Delivered"/>
  </r>
  <r>
    <s v="ORD0025"/>
    <x v="2"/>
    <s v="Sneha Rao"/>
    <x v="3"/>
    <x v="4"/>
    <n v="1"/>
    <n v="2659"/>
    <n v="2659"/>
    <s v="Delivered"/>
  </r>
  <r>
    <s v="ORD0026"/>
    <x v="2"/>
    <s v="Rahul Sharma"/>
    <x v="3"/>
    <x v="3"/>
    <n v="4"/>
    <n v="5617"/>
    <n v="22468"/>
    <s v="Shipped"/>
  </r>
  <r>
    <s v="ORD0027"/>
    <x v="4"/>
    <s v="Priya Nair"/>
    <x v="1"/>
    <x v="0"/>
    <n v="5"/>
    <n v="24421"/>
    <n v="122105"/>
    <s v="Delivered"/>
  </r>
  <r>
    <s v="ORD0028"/>
    <x v="1"/>
    <s v="Amit Kumar"/>
    <x v="1"/>
    <x v="2"/>
    <n v="8"/>
    <n v="2090"/>
    <n v="16720"/>
    <s v="Shipped"/>
  </r>
  <r>
    <s v="ORD0029"/>
    <x v="10"/>
    <s v="Sneha Rao"/>
    <x v="3"/>
    <x v="3"/>
    <n v="7"/>
    <n v="24419"/>
    <n v="170933"/>
    <s v="Delivered"/>
  </r>
  <r>
    <s v="ORD0030"/>
    <x v="13"/>
    <s v="Rahul Sharma"/>
    <x v="3"/>
    <x v="3"/>
    <n v="7"/>
    <n v="23436"/>
    <n v="164052"/>
    <s v="Shipped"/>
  </r>
  <r>
    <s v="ORD0031"/>
    <x v="0"/>
    <s v="Sneha Rao"/>
    <x v="2"/>
    <x v="0"/>
    <n v="8"/>
    <n v="7093"/>
    <n v="56744"/>
    <s v="Delivered"/>
  </r>
  <r>
    <s v="ORD0032"/>
    <x v="3"/>
    <s v="Neha Reddy"/>
    <x v="2"/>
    <x v="3"/>
    <n v="8"/>
    <n v="37266"/>
    <n v="298128"/>
    <s v="Delivered"/>
  </r>
  <r>
    <s v="ORD0033"/>
    <x v="1"/>
    <s v="Rahul Sharma"/>
    <x v="3"/>
    <x v="0"/>
    <n v="3"/>
    <n v="15817"/>
    <n v="47451"/>
    <s v="Delivered"/>
  </r>
  <r>
    <s v="ORD0034"/>
    <x v="11"/>
    <s v="Arjun Das"/>
    <x v="3"/>
    <x v="0"/>
    <n v="7"/>
    <n v="2570"/>
    <n v="17990"/>
    <s v="Cancelled"/>
  </r>
  <r>
    <s v="ORD0035"/>
    <x v="3"/>
    <s v="Neha Reddy"/>
    <x v="0"/>
    <x v="1"/>
    <n v="8"/>
    <n v="1468"/>
    <n v="11744"/>
    <s v="Delivered"/>
  </r>
  <r>
    <s v="ORD0036"/>
    <x v="11"/>
    <s v="Rahul Sharma"/>
    <x v="1"/>
    <x v="2"/>
    <n v="1"/>
    <n v="2669"/>
    <n v="2669"/>
    <s v="Delivered"/>
  </r>
  <r>
    <s v="ORD0037"/>
    <x v="14"/>
    <s v="Amit Kumar"/>
    <x v="3"/>
    <x v="2"/>
    <n v="2"/>
    <n v="1622"/>
    <n v="3244"/>
    <s v="Delivered"/>
  </r>
  <r>
    <s v="ORD0038"/>
    <x v="7"/>
    <s v="Sneha Rao"/>
    <x v="4"/>
    <x v="3"/>
    <n v="4"/>
    <n v="39140"/>
    <n v="156560"/>
    <s v="Delivered"/>
  </r>
  <r>
    <s v="ORD0039"/>
    <x v="7"/>
    <s v="Arjun Das"/>
    <x v="1"/>
    <x v="2"/>
    <n v="6"/>
    <n v="2236"/>
    <n v="13416"/>
    <s v="Delivered"/>
  </r>
  <r>
    <s v="ORD0040"/>
    <x v="4"/>
    <s v="Sneha Rao"/>
    <x v="0"/>
    <x v="1"/>
    <n v="3"/>
    <n v="5702"/>
    <n v="17106"/>
    <s v="Pending"/>
  </r>
  <r>
    <s v="ORD0041"/>
    <x v="13"/>
    <s v="Meera Iyer"/>
    <x v="3"/>
    <x v="3"/>
    <n v="8"/>
    <n v="41908"/>
    <n v="335264"/>
    <s v="Cancelled"/>
  </r>
  <r>
    <s v="ORD0042"/>
    <x v="0"/>
    <s v="Priya Nair"/>
    <x v="1"/>
    <x v="0"/>
    <n v="5"/>
    <n v="6840"/>
    <n v="34200"/>
    <s v="Shipped"/>
  </r>
  <r>
    <s v="ORD0043"/>
    <x v="7"/>
    <s v="Sneha Rao"/>
    <x v="0"/>
    <x v="4"/>
    <n v="3"/>
    <n v="2044"/>
    <n v="6132"/>
    <s v="Shipped"/>
  </r>
  <r>
    <s v="ORD0044"/>
    <x v="5"/>
    <s v="Rahul Sharma"/>
    <x v="1"/>
    <x v="4"/>
    <n v="2"/>
    <n v="800"/>
    <n v="1600"/>
    <s v="Delivered"/>
  </r>
  <r>
    <s v="ORD0045"/>
    <x v="0"/>
    <s v="Amit Kumar"/>
    <x v="0"/>
    <x v="4"/>
    <n v="4"/>
    <n v="3189"/>
    <n v="12756"/>
    <s v="Delivered"/>
  </r>
  <r>
    <s v="ORD0046"/>
    <x v="3"/>
    <s v="Neha Reddy"/>
    <x v="0"/>
    <x v="3"/>
    <n v="2"/>
    <n v="42768"/>
    <n v="85536"/>
    <s v="Delivered"/>
  </r>
  <r>
    <s v="ORD0047"/>
    <x v="3"/>
    <s v="Rahul Sharma"/>
    <x v="3"/>
    <x v="4"/>
    <n v="3"/>
    <n v="2859"/>
    <n v="8577"/>
    <s v="Cancelled"/>
  </r>
  <r>
    <s v="ORD0048"/>
    <x v="15"/>
    <s v="Neha Reddy"/>
    <x v="1"/>
    <x v="1"/>
    <n v="1"/>
    <n v="1116"/>
    <n v="1116"/>
    <s v="Delivered"/>
  </r>
  <r>
    <s v="ORD0049"/>
    <x v="9"/>
    <s v="Rahul Sharma"/>
    <x v="0"/>
    <x v="2"/>
    <n v="3"/>
    <n v="3620"/>
    <n v="10860"/>
    <s v="Delivered"/>
  </r>
  <r>
    <s v="ORD0050"/>
    <x v="5"/>
    <s v="Meera Iyer"/>
    <x v="3"/>
    <x v="4"/>
    <n v="4"/>
    <n v="3043"/>
    <n v="12172"/>
    <s v="Delivered"/>
  </r>
  <r>
    <s v="ORD0051"/>
    <x v="0"/>
    <s v="Meera Iyer"/>
    <x v="1"/>
    <x v="1"/>
    <n v="3"/>
    <n v="7783"/>
    <n v="23349"/>
    <s v="Shipped"/>
  </r>
  <r>
    <s v="ORD0052"/>
    <x v="15"/>
    <s v="Amit Kumar"/>
    <x v="4"/>
    <x v="3"/>
    <n v="3"/>
    <n v="22970"/>
    <n v="68910"/>
    <s v="Shipped"/>
  </r>
  <r>
    <s v="ORD0053"/>
    <x v="10"/>
    <s v="Sneha Rao"/>
    <x v="0"/>
    <x v="0"/>
    <n v="2"/>
    <n v="15035"/>
    <n v="30070"/>
    <s v="Shipped"/>
  </r>
  <r>
    <s v="ORD0054"/>
    <x v="14"/>
    <s v="Sneha Rao"/>
    <x v="2"/>
    <x v="1"/>
    <n v="6"/>
    <n v="2700"/>
    <n v="16200"/>
    <s v="Shipped"/>
  </r>
  <r>
    <s v="ORD0055"/>
    <x v="2"/>
    <s v="Sneha Rao"/>
    <x v="3"/>
    <x v="0"/>
    <n v="7"/>
    <n v="13256"/>
    <n v="92792"/>
    <s v="Delivered"/>
  </r>
  <r>
    <s v="ORD0056"/>
    <x v="7"/>
    <s v="Kiran Patel"/>
    <x v="0"/>
    <x v="2"/>
    <n v="7"/>
    <n v="4492"/>
    <n v="31444"/>
    <s v="Delivered"/>
  </r>
  <r>
    <s v="ORD0057"/>
    <x v="12"/>
    <s v="Priya Nair"/>
    <x v="0"/>
    <x v="0"/>
    <n v="5"/>
    <n v="3753"/>
    <n v="18765"/>
    <s v="Delivered"/>
  </r>
  <r>
    <s v="ORD0058"/>
    <x v="10"/>
    <s v="Meera Iyer"/>
    <x v="0"/>
    <x v="1"/>
    <n v="2"/>
    <n v="3355"/>
    <n v="6710"/>
    <s v="Shipped"/>
  </r>
  <r>
    <s v="ORD0059"/>
    <x v="11"/>
    <s v="Kiran Patel"/>
    <x v="3"/>
    <x v="1"/>
    <n v="1"/>
    <n v="4459"/>
    <n v="4459"/>
    <s v="Shipped"/>
  </r>
  <r>
    <s v="ORD0060"/>
    <x v="1"/>
    <s v="Sneha Rao"/>
    <x v="0"/>
    <x v="1"/>
    <n v="2"/>
    <n v="7973"/>
    <n v="15946"/>
    <s v="Pending"/>
  </r>
  <r>
    <s v="ORD0061"/>
    <x v="4"/>
    <s v="Meera Iyer"/>
    <x v="3"/>
    <x v="4"/>
    <n v="5"/>
    <n v="2981"/>
    <n v="14905"/>
    <s v="Delivered"/>
  </r>
  <r>
    <s v="ORD0062"/>
    <x v="8"/>
    <s v="Kiran Patel"/>
    <x v="1"/>
    <x v="0"/>
    <n v="4"/>
    <n v="16277"/>
    <n v="65108"/>
    <s v="Pending"/>
  </r>
  <r>
    <s v="ORD0063"/>
    <x v="8"/>
    <s v="Amit Kumar"/>
    <x v="1"/>
    <x v="2"/>
    <n v="5"/>
    <n v="3426"/>
    <n v="17130"/>
    <s v="Delivered"/>
  </r>
  <r>
    <s v="ORD0064"/>
    <x v="12"/>
    <s v="Kiran Patel"/>
    <x v="0"/>
    <x v="0"/>
    <n v="7"/>
    <n v="28247"/>
    <n v="197729"/>
    <s v="Delivered"/>
  </r>
  <r>
    <s v="ORD0065"/>
    <x v="4"/>
    <s v="Neha Reddy"/>
    <x v="4"/>
    <x v="1"/>
    <n v="4"/>
    <n v="4387"/>
    <n v="17548"/>
    <s v="Delivered"/>
  </r>
  <r>
    <s v="ORD0066"/>
    <x v="15"/>
    <s v="Priya Nair"/>
    <x v="0"/>
    <x v="2"/>
    <n v="6"/>
    <n v="865"/>
    <n v="5190"/>
    <s v="Shipped"/>
  </r>
  <r>
    <s v="ORD0067"/>
    <x v="2"/>
    <s v="Kiran Patel"/>
    <x v="2"/>
    <x v="0"/>
    <n v="3"/>
    <n v="3300"/>
    <n v="9900"/>
    <s v="Delivered"/>
  </r>
  <r>
    <s v="ORD0068"/>
    <x v="14"/>
    <s v="Priya Nair"/>
    <x v="4"/>
    <x v="1"/>
    <n v="4"/>
    <n v="6084"/>
    <n v="24336"/>
    <s v="Pending"/>
  </r>
  <r>
    <s v="ORD0069"/>
    <x v="14"/>
    <s v="Arjun Das"/>
    <x v="2"/>
    <x v="0"/>
    <n v="1"/>
    <n v="27107"/>
    <n v="27107"/>
    <s v="Shipped"/>
  </r>
  <r>
    <s v="ORD0070"/>
    <x v="0"/>
    <s v="Arjun Das"/>
    <x v="2"/>
    <x v="0"/>
    <n v="8"/>
    <n v="4145"/>
    <n v="33160"/>
    <s v="Delivered"/>
  </r>
  <r>
    <s v="ORD0071"/>
    <x v="0"/>
    <s v="Neha Reddy"/>
    <x v="2"/>
    <x v="1"/>
    <n v="6"/>
    <n v="7982"/>
    <n v="47892"/>
    <s v="Pending"/>
  </r>
  <r>
    <s v="ORD0072"/>
    <x v="13"/>
    <s v="Arjun Das"/>
    <x v="1"/>
    <x v="1"/>
    <n v="3"/>
    <n v="6292"/>
    <n v="18876"/>
    <s v="Shipped"/>
  </r>
  <r>
    <s v="ORD0073"/>
    <x v="13"/>
    <s v="Kiran Patel"/>
    <x v="2"/>
    <x v="4"/>
    <n v="8"/>
    <n v="2817"/>
    <n v="22536"/>
    <s v="Delivered"/>
  </r>
  <r>
    <s v="ORD0074"/>
    <x v="13"/>
    <s v="Priya Nair"/>
    <x v="0"/>
    <x v="0"/>
    <n v="5"/>
    <n v="13505"/>
    <n v="67525"/>
    <s v="Delivered"/>
  </r>
  <r>
    <s v="ORD0075"/>
    <x v="1"/>
    <s v="Priya Nair"/>
    <x v="2"/>
    <x v="0"/>
    <n v="4"/>
    <n v="15051"/>
    <n v="60204"/>
    <s v="Pending"/>
  </r>
  <r>
    <s v="ORD0076"/>
    <x v="11"/>
    <s v="Priya Nair"/>
    <x v="4"/>
    <x v="1"/>
    <n v="6"/>
    <n v="4645"/>
    <n v="27870"/>
    <s v="Delivered"/>
  </r>
  <r>
    <s v="ORD0077"/>
    <x v="16"/>
    <s v="Sneha Rao"/>
    <x v="4"/>
    <x v="1"/>
    <n v="1"/>
    <n v="7218"/>
    <n v="7218"/>
    <s v="Shipped"/>
  </r>
  <r>
    <s v="ORD0078"/>
    <x v="8"/>
    <s v="Neha Reddy"/>
    <x v="3"/>
    <x v="4"/>
    <n v="5"/>
    <n v="3336"/>
    <n v="16680"/>
    <s v="Delivered"/>
  </r>
  <r>
    <s v="ORD0079"/>
    <x v="10"/>
    <s v="Sneha Rao"/>
    <x v="4"/>
    <x v="0"/>
    <n v="5"/>
    <n v="16781"/>
    <n v="83905"/>
    <s v="Delivered"/>
  </r>
  <r>
    <s v="ORD0080"/>
    <x v="8"/>
    <s v="Meera Iyer"/>
    <x v="4"/>
    <x v="0"/>
    <n v="8"/>
    <n v="6682"/>
    <n v="53456"/>
    <s v="Cancelled"/>
  </r>
  <r>
    <s v="ORD0081"/>
    <x v="1"/>
    <s v="Rahul Sharma"/>
    <x v="4"/>
    <x v="2"/>
    <n v="1"/>
    <n v="787"/>
    <n v="787"/>
    <s v="Pending"/>
  </r>
  <r>
    <s v="ORD0082"/>
    <x v="9"/>
    <s v="Neha Reddy"/>
    <x v="2"/>
    <x v="3"/>
    <n v="5"/>
    <n v="26044"/>
    <n v="130220"/>
    <s v="Delivered"/>
  </r>
  <r>
    <s v="ORD0083"/>
    <x v="13"/>
    <s v="Meera Iyer"/>
    <x v="0"/>
    <x v="1"/>
    <n v="5"/>
    <n v="6360"/>
    <n v="31800"/>
    <s v="Cancelled"/>
  </r>
  <r>
    <s v="ORD0084"/>
    <x v="10"/>
    <s v="Kiran Patel"/>
    <x v="3"/>
    <x v="1"/>
    <n v="1"/>
    <n v="6336"/>
    <n v="6336"/>
    <s v="Delivered"/>
  </r>
  <r>
    <s v="ORD0085"/>
    <x v="6"/>
    <s v="Sneha Rao"/>
    <x v="3"/>
    <x v="3"/>
    <n v="1"/>
    <n v="17405"/>
    <n v="17405"/>
    <s v="Delivered"/>
  </r>
  <r>
    <s v="ORD0086"/>
    <x v="12"/>
    <s v="Amit Kumar"/>
    <x v="2"/>
    <x v="0"/>
    <n v="8"/>
    <n v="24436"/>
    <n v="195488"/>
    <s v="Delivered"/>
  </r>
  <r>
    <s v="ORD0087"/>
    <x v="11"/>
    <s v="Neha Reddy"/>
    <x v="0"/>
    <x v="4"/>
    <n v="3"/>
    <n v="2731"/>
    <n v="8193"/>
    <s v="Delivered"/>
  </r>
  <r>
    <s v="ORD0088"/>
    <x v="0"/>
    <s v="Amit Kumar"/>
    <x v="0"/>
    <x v="3"/>
    <n v="1"/>
    <n v="21644"/>
    <n v="21644"/>
    <s v="Delivered"/>
  </r>
  <r>
    <s v="ORD0089"/>
    <x v="8"/>
    <s v="Arjun Das"/>
    <x v="2"/>
    <x v="3"/>
    <n v="4"/>
    <n v="7878"/>
    <n v="31512"/>
    <s v="Pending"/>
  </r>
  <r>
    <s v="ORD0090"/>
    <x v="5"/>
    <s v="Priya Nair"/>
    <x v="1"/>
    <x v="3"/>
    <n v="6"/>
    <n v="36113"/>
    <n v="216678"/>
    <s v="Delivered"/>
  </r>
  <r>
    <s v="ORD0091"/>
    <x v="6"/>
    <s v="Priya Nair"/>
    <x v="1"/>
    <x v="4"/>
    <n v="1"/>
    <n v="1970"/>
    <n v="1970"/>
    <s v="Shipped"/>
  </r>
  <r>
    <s v="ORD0092"/>
    <x v="0"/>
    <s v="Arjun Das"/>
    <x v="0"/>
    <x v="1"/>
    <n v="3"/>
    <n v="3767"/>
    <n v="11301"/>
    <s v="Delivered"/>
  </r>
  <r>
    <s v="ORD0093"/>
    <x v="17"/>
    <s v="Kiran Patel"/>
    <x v="1"/>
    <x v="2"/>
    <n v="8"/>
    <n v="3908"/>
    <n v="31264"/>
    <s v="Delivered"/>
  </r>
  <r>
    <s v="ORD0094"/>
    <x v="3"/>
    <s v="Meera Iyer"/>
    <x v="2"/>
    <x v="3"/>
    <n v="5"/>
    <n v="30743"/>
    <n v="153715"/>
    <s v="Delivered"/>
  </r>
  <r>
    <s v="ORD0095"/>
    <x v="13"/>
    <s v="Arjun Das"/>
    <x v="0"/>
    <x v="3"/>
    <n v="8"/>
    <n v="22500"/>
    <n v="180000"/>
    <s v="Delivered"/>
  </r>
  <r>
    <s v="ORD0096"/>
    <x v="11"/>
    <s v="Meera Iyer"/>
    <x v="0"/>
    <x v="4"/>
    <n v="5"/>
    <n v="2691"/>
    <n v="13455"/>
    <s v="Pending"/>
  </r>
  <r>
    <s v="ORD0097"/>
    <x v="3"/>
    <s v="Rahul Sharma"/>
    <x v="1"/>
    <x v="0"/>
    <n v="2"/>
    <n v="10408"/>
    <n v="20816"/>
    <s v="Pending"/>
  </r>
  <r>
    <s v="ORD0098"/>
    <x v="14"/>
    <s v="Sneha Rao"/>
    <x v="4"/>
    <x v="1"/>
    <n v="8"/>
    <n v="6695"/>
    <n v="53560"/>
    <s v="Delivered"/>
  </r>
  <r>
    <s v="ORD0099"/>
    <x v="5"/>
    <s v="Sneha Rao"/>
    <x v="4"/>
    <x v="0"/>
    <n v="5"/>
    <n v="24256"/>
    <n v="121280"/>
    <s v="Delivered"/>
  </r>
  <r>
    <s v="ORD0100"/>
    <x v="14"/>
    <s v="Meera Iyer"/>
    <x v="4"/>
    <x v="2"/>
    <n v="6"/>
    <n v="2982"/>
    <n v="17892"/>
    <s v="Pending"/>
  </r>
  <r>
    <s v="ORD0101"/>
    <x v="3"/>
    <s v="Kiran Patel"/>
    <x v="0"/>
    <x v="0"/>
    <n v="2"/>
    <n v="26135"/>
    <n v="52270"/>
    <s v="Delivered"/>
  </r>
  <r>
    <s v="ORD0102"/>
    <x v="0"/>
    <s v="Amit Kumar"/>
    <x v="2"/>
    <x v="0"/>
    <n v="8"/>
    <n v="11560"/>
    <n v="92480"/>
    <s v="Pending"/>
  </r>
  <r>
    <s v="ORD0103"/>
    <x v="17"/>
    <s v="Kiran Patel"/>
    <x v="3"/>
    <x v="0"/>
    <n v="5"/>
    <n v="9954"/>
    <n v="49770"/>
    <s v="Delivered"/>
  </r>
  <r>
    <s v="ORD0104"/>
    <x v="5"/>
    <s v="Rahul Sharma"/>
    <x v="1"/>
    <x v="0"/>
    <n v="5"/>
    <n v="3991"/>
    <n v="19955"/>
    <s v="Cancelled"/>
  </r>
  <r>
    <s v="ORD0105"/>
    <x v="1"/>
    <s v="Kiran Patel"/>
    <x v="2"/>
    <x v="1"/>
    <n v="2"/>
    <n v="7349"/>
    <n v="14698"/>
    <s v="Delivered"/>
  </r>
  <r>
    <s v="ORD0106"/>
    <x v="5"/>
    <s v="Neha Reddy"/>
    <x v="4"/>
    <x v="1"/>
    <n v="6"/>
    <n v="1710"/>
    <n v="10260"/>
    <s v="Cancelled"/>
  </r>
  <r>
    <s v="ORD0107"/>
    <x v="3"/>
    <s v="Neha Reddy"/>
    <x v="3"/>
    <x v="3"/>
    <n v="7"/>
    <n v="33427"/>
    <n v="233989"/>
    <s v="Delivered"/>
  </r>
  <r>
    <s v="ORD0108"/>
    <x v="16"/>
    <s v="Amit Kumar"/>
    <x v="2"/>
    <x v="2"/>
    <n v="5"/>
    <n v="797"/>
    <n v="3985"/>
    <s v="Cancelled"/>
  </r>
  <r>
    <s v="ORD0109"/>
    <x v="0"/>
    <s v="Arjun Das"/>
    <x v="1"/>
    <x v="2"/>
    <n v="4"/>
    <n v="4380"/>
    <n v="17520"/>
    <s v="Delivered"/>
  </r>
  <r>
    <s v="ORD0110"/>
    <x v="13"/>
    <s v="Kiran Patel"/>
    <x v="1"/>
    <x v="1"/>
    <n v="5"/>
    <n v="4858"/>
    <n v="24290"/>
    <s v="Pending"/>
  </r>
  <r>
    <s v="ORD0111"/>
    <x v="0"/>
    <s v="Sneha Rao"/>
    <x v="2"/>
    <x v="4"/>
    <n v="2"/>
    <n v="893"/>
    <n v="1786"/>
    <s v="Delivered"/>
  </r>
  <r>
    <s v="ORD0112"/>
    <x v="1"/>
    <s v="Priya Nair"/>
    <x v="2"/>
    <x v="3"/>
    <n v="7"/>
    <n v="30724"/>
    <n v="215068"/>
    <s v="Pending"/>
  </r>
  <r>
    <s v="ORD0113"/>
    <x v="14"/>
    <s v="Kiran Patel"/>
    <x v="3"/>
    <x v="0"/>
    <n v="5"/>
    <n v="25665"/>
    <n v="128325"/>
    <s v="Delivered"/>
  </r>
  <r>
    <s v="ORD0114"/>
    <x v="13"/>
    <s v="Priya Nair"/>
    <x v="2"/>
    <x v="4"/>
    <n v="4"/>
    <n v="1991"/>
    <n v="7964"/>
    <s v="Delivered"/>
  </r>
  <r>
    <s v="ORD0115"/>
    <x v="2"/>
    <s v="Amit Kumar"/>
    <x v="0"/>
    <x v="0"/>
    <n v="2"/>
    <n v="4454"/>
    <n v="8908"/>
    <s v="Delivered"/>
  </r>
  <r>
    <s v="ORD0116"/>
    <x v="5"/>
    <s v="Kiran Patel"/>
    <x v="4"/>
    <x v="3"/>
    <n v="8"/>
    <n v="21128"/>
    <n v="169024"/>
    <s v="Pending"/>
  </r>
  <r>
    <s v="ORD0117"/>
    <x v="3"/>
    <s v="Neha Reddy"/>
    <x v="4"/>
    <x v="3"/>
    <n v="1"/>
    <n v="29513"/>
    <n v="29513"/>
    <s v="Pending"/>
  </r>
  <r>
    <s v="ORD0118"/>
    <x v="3"/>
    <s v="Rahul Sharma"/>
    <x v="3"/>
    <x v="0"/>
    <n v="1"/>
    <n v="27559"/>
    <n v="27559"/>
    <s v="Pending"/>
  </r>
  <r>
    <s v="ORD0119"/>
    <x v="3"/>
    <s v="Rahul Sharma"/>
    <x v="2"/>
    <x v="1"/>
    <n v="8"/>
    <n v="7704"/>
    <n v="61632"/>
    <s v="Delivered"/>
  </r>
  <r>
    <s v="ORD0120"/>
    <x v="10"/>
    <s v="Neha Reddy"/>
    <x v="3"/>
    <x v="1"/>
    <n v="6"/>
    <n v="3545"/>
    <n v="21270"/>
    <s v="Delivered"/>
  </r>
  <r>
    <s v="ORD0121"/>
    <x v="0"/>
    <s v="Amit Kumar"/>
    <x v="0"/>
    <x v="1"/>
    <n v="8"/>
    <n v="2561"/>
    <n v="20488"/>
    <s v="Pending"/>
  </r>
  <r>
    <s v="ORD0122"/>
    <x v="8"/>
    <s v="Rahul Sharma"/>
    <x v="4"/>
    <x v="3"/>
    <n v="6"/>
    <n v="17741"/>
    <n v="106446"/>
    <s v="Delivered"/>
  </r>
  <r>
    <s v="ORD0123"/>
    <x v="8"/>
    <s v="Rahul Sharma"/>
    <x v="1"/>
    <x v="1"/>
    <n v="7"/>
    <n v="644"/>
    <n v="4508"/>
    <s v="Delivered"/>
  </r>
  <r>
    <s v="ORD0124"/>
    <x v="6"/>
    <s v="Neha Reddy"/>
    <x v="4"/>
    <x v="3"/>
    <n v="4"/>
    <n v="18701"/>
    <n v="74804"/>
    <s v="Delivered"/>
  </r>
  <r>
    <s v="ORD0125"/>
    <x v="5"/>
    <s v="Neha Reddy"/>
    <x v="4"/>
    <x v="3"/>
    <n v="1"/>
    <n v="42489"/>
    <n v="42489"/>
    <s v="Delivered"/>
  </r>
  <r>
    <s v="ORD0126"/>
    <x v="2"/>
    <s v="Amit Kumar"/>
    <x v="0"/>
    <x v="2"/>
    <n v="1"/>
    <n v="4624"/>
    <n v="4624"/>
    <s v="Delivered"/>
  </r>
  <r>
    <s v="ORD0127"/>
    <x v="2"/>
    <s v="Priya Nair"/>
    <x v="4"/>
    <x v="3"/>
    <n v="3"/>
    <n v="33861"/>
    <n v="101583"/>
    <s v="Shipped"/>
  </r>
  <r>
    <s v="ORD0128"/>
    <x v="5"/>
    <s v="Kiran Patel"/>
    <x v="4"/>
    <x v="1"/>
    <n v="8"/>
    <n v="2196"/>
    <n v="17568"/>
    <s v="Delivered"/>
  </r>
  <r>
    <s v="ORD0129"/>
    <x v="9"/>
    <s v="Arjun Das"/>
    <x v="2"/>
    <x v="2"/>
    <n v="3"/>
    <n v="671"/>
    <n v="2013"/>
    <s v="Delivered"/>
  </r>
  <r>
    <s v="ORD0130"/>
    <x v="10"/>
    <s v="Meera Iyer"/>
    <x v="1"/>
    <x v="4"/>
    <n v="1"/>
    <n v="1408"/>
    <n v="1408"/>
    <s v="Pending"/>
  </r>
  <r>
    <s v="ORD0131"/>
    <x v="14"/>
    <s v="Amit Kumar"/>
    <x v="4"/>
    <x v="2"/>
    <n v="8"/>
    <n v="2927"/>
    <n v="23416"/>
    <s v="Delivered"/>
  </r>
  <r>
    <s v="ORD0132"/>
    <x v="1"/>
    <s v="Arjun Das"/>
    <x v="4"/>
    <x v="4"/>
    <n v="4"/>
    <n v="3106"/>
    <n v="12424"/>
    <s v="Delivered"/>
  </r>
  <r>
    <s v="ORD0133"/>
    <x v="8"/>
    <s v="Sneha Rao"/>
    <x v="4"/>
    <x v="3"/>
    <n v="6"/>
    <n v="32196"/>
    <n v="193176"/>
    <s v="Pending"/>
  </r>
  <r>
    <s v="ORD0134"/>
    <x v="8"/>
    <s v="Arjun Das"/>
    <x v="2"/>
    <x v="1"/>
    <n v="1"/>
    <n v="1234"/>
    <n v="1234"/>
    <s v="Delivered"/>
  </r>
  <r>
    <s v="ORD0135"/>
    <x v="4"/>
    <s v="Priya Nair"/>
    <x v="4"/>
    <x v="3"/>
    <n v="8"/>
    <n v="2205"/>
    <n v="17640"/>
    <s v="Pending"/>
  </r>
  <r>
    <s v="ORD0136"/>
    <x v="10"/>
    <s v="Amit Kumar"/>
    <x v="3"/>
    <x v="1"/>
    <n v="5"/>
    <n v="2973"/>
    <n v="14865"/>
    <s v="Pending"/>
  </r>
  <r>
    <s v="ORD0137"/>
    <x v="8"/>
    <s v="Priya Nair"/>
    <x v="0"/>
    <x v="2"/>
    <n v="7"/>
    <n v="2694"/>
    <n v="18858"/>
    <s v="Pending"/>
  </r>
  <r>
    <s v="ORD0138"/>
    <x v="14"/>
    <s v="Rahul Sharma"/>
    <x v="1"/>
    <x v="3"/>
    <n v="4"/>
    <n v="42563"/>
    <n v="170252"/>
    <s v="Pending"/>
  </r>
  <r>
    <s v="ORD0139"/>
    <x v="5"/>
    <s v="Sneha Rao"/>
    <x v="3"/>
    <x v="1"/>
    <n v="2"/>
    <n v="6428"/>
    <n v="12856"/>
    <s v="Pending"/>
  </r>
  <r>
    <s v="ORD0140"/>
    <x v="0"/>
    <s v="Neha Reddy"/>
    <x v="2"/>
    <x v="4"/>
    <n v="1"/>
    <n v="438"/>
    <n v="438"/>
    <s v="Delivered"/>
  </r>
  <r>
    <s v="ORD0141"/>
    <x v="16"/>
    <s v="Kiran Patel"/>
    <x v="0"/>
    <x v="4"/>
    <n v="7"/>
    <n v="846"/>
    <n v="5922"/>
    <s v="Delivered"/>
  </r>
  <r>
    <s v="ORD0142"/>
    <x v="10"/>
    <s v="Amit Kumar"/>
    <x v="2"/>
    <x v="0"/>
    <n v="2"/>
    <n v="22471"/>
    <n v="44942"/>
    <s v="Shipped"/>
  </r>
  <r>
    <s v="ORD0143"/>
    <x v="2"/>
    <s v="Neha Reddy"/>
    <x v="1"/>
    <x v="0"/>
    <n v="4"/>
    <n v="17610"/>
    <n v="70440"/>
    <s v="Pending"/>
  </r>
  <r>
    <s v="ORD0144"/>
    <x v="13"/>
    <s v="Kiran Patel"/>
    <x v="3"/>
    <x v="1"/>
    <n v="5"/>
    <n v="5750"/>
    <n v="28750"/>
    <s v="Delivered"/>
  </r>
  <r>
    <s v="ORD0145"/>
    <x v="7"/>
    <s v="Neha Reddy"/>
    <x v="0"/>
    <x v="2"/>
    <n v="5"/>
    <n v="5334"/>
    <n v="26670"/>
    <s v="Cancelled"/>
  </r>
  <r>
    <s v="ORD0146"/>
    <x v="3"/>
    <s v="Neha Reddy"/>
    <x v="0"/>
    <x v="0"/>
    <n v="7"/>
    <n v="18333"/>
    <n v="128331"/>
    <s v="Delivered"/>
  </r>
  <r>
    <s v="ORD0147"/>
    <x v="8"/>
    <s v="Meera Iyer"/>
    <x v="1"/>
    <x v="4"/>
    <n v="5"/>
    <n v="339"/>
    <n v="1695"/>
    <s v="Cancelled"/>
  </r>
  <r>
    <s v="ORD0148"/>
    <x v="8"/>
    <s v="Kiran Patel"/>
    <x v="3"/>
    <x v="2"/>
    <n v="1"/>
    <n v="5067"/>
    <n v="5067"/>
    <s v="Pending"/>
  </r>
  <r>
    <s v="ORD0149"/>
    <x v="5"/>
    <s v="Sneha Rao"/>
    <x v="1"/>
    <x v="4"/>
    <n v="4"/>
    <n v="2857"/>
    <n v="11428"/>
    <s v="Delivered"/>
  </r>
  <r>
    <s v="ORD0150"/>
    <x v="3"/>
    <s v="Amit Kumar"/>
    <x v="3"/>
    <x v="3"/>
    <n v="5"/>
    <n v="30089"/>
    <n v="150445"/>
    <s v="Delivered"/>
  </r>
  <r>
    <s v="ORD0151"/>
    <x v="6"/>
    <s v="Amit Kumar"/>
    <x v="3"/>
    <x v="4"/>
    <n v="6"/>
    <n v="3311"/>
    <n v="19866"/>
    <s v="Delivered"/>
  </r>
  <r>
    <s v="ORD0152"/>
    <x v="11"/>
    <s v="Amit Kumar"/>
    <x v="1"/>
    <x v="4"/>
    <n v="5"/>
    <n v="923"/>
    <n v="4615"/>
    <s v="Delivered"/>
  </r>
  <r>
    <s v="ORD0153"/>
    <x v="14"/>
    <s v="Kiran Patel"/>
    <x v="0"/>
    <x v="3"/>
    <n v="8"/>
    <n v="6134"/>
    <n v="49072"/>
    <s v="Delivered"/>
  </r>
  <r>
    <s v="ORD0154"/>
    <x v="2"/>
    <s v="Arjun Das"/>
    <x v="1"/>
    <x v="4"/>
    <n v="2"/>
    <n v="3488"/>
    <n v="6976"/>
    <s v="Delivered"/>
  </r>
  <r>
    <s v="ORD0155"/>
    <x v="3"/>
    <s v="Priya Nair"/>
    <x v="4"/>
    <x v="4"/>
    <n v="5"/>
    <n v="2644"/>
    <n v="13220"/>
    <s v="Delivered"/>
  </r>
  <r>
    <s v="ORD0156"/>
    <x v="6"/>
    <s v="Priya Nair"/>
    <x v="2"/>
    <x v="1"/>
    <n v="1"/>
    <n v="5275"/>
    <n v="5275"/>
    <s v="Shipped"/>
  </r>
  <r>
    <s v="ORD0157"/>
    <x v="1"/>
    <s v="Meera Iyer"/>
    <x v="1"/>
    <x v="0"/>
    <n v="2"/>
    <n v="23320"/>
    <n v="46640"/>
    <s v="Shipped"/>
  </r>
  <r>
    <s v="ORD0158"/>
    <x v="5"/>
    <s v="Arjun Das"/>
    <x v="3"/>
    <x v="0"/>
    <n v="1"/>
    <n v="3719"/>
    <n v="3719"/>
    <s v="Delivered"/>
  </r>
  <r>
    <s v="ORD0159"/>
    <x v="14"/>
    <s v="Priya Nair"/>
    <x v="3"/>
    <x v="0"/>
    <n v="3"/>
    <n v="15235"/>
    <n v="45705"/>
    <s v="Delivered"/>
  </r>
  <r>
    <s v="ORD0160"/>
    <x v="1"/>
    <s v="Arjun Das"/>
    <x v="1"/>
    <x v="0"/>
    <n v="7"/>
    <n v="23960"/>
    <n v="167720"/>
    <s v="Delivered"/>
  </r>
  <r>
    <s v="ORD0161"/>
    <x v="14"/>
    <s v="Arjun Das"/>
    <x v="0"/>
    <x v="3"/>
    <n v="6"/>
    <n v="15438"/>
    <n v="92628"/>
    <s v="Delivered"/>
  </r>
  <r>
    <s v="ORD0162"/>
    <x v="2"/>
    <s v="Meera Iyer"/>
    <x v="3"/>
    <x v="4"/>
    <n v="6"/>
    <n v="498"/>
    <n v="2988"/>
    <s v="Delivered"/>
  </r>
  <r>
    <s v="ORD0163"/>
    <x v="11"/>
    <s v="Priya Nair"/>
    <x v="4"/>
    <x v="3"/>
    <n v="4"/>
    <n v="43254"/>
    <n v="173016"/>
    <s v="Pending"/>
  </r>
  <r>
    <s v="ORD0164"/>
    <x v="12"/>
    <s v="Rahul Sharma"/>
    <x v="0"/>
    <x v="0"/>
    <n v="3"/>
    <n v="28287"/>
    <n v="84861"/>
    <s v="Delivered"/>
  </r>
  <r>
    <s v="ORD0165"/>
    <x v="7"/>
    <s v="Sneha Rao"/>
    <x v="1"/>
    <x v="0"/>
    <n v="4"/>
    <n v="13266"/>
    <n v="53064"/>
    <s v="Shipped"/>
  </r>
  <r>
    <s v="ORD0166"/>
    <x v="12"/>
    <s v="Kiran Patel"/>
    <x v="2"/>
    <x v="0"/>
    <n v="5"/>
    <n v="28665"/>
    <n v="143325"/>
    <s v="Delivered"/>
  </r>
  <r>
    <s v="ORD0167"/>
    <x v="12"/>
    <s v="Amit Kumar"/>
    <x v="3"/>
    <x v="4"/>
    <n v="4"/>
    <n v="2661"/>
    <n v="10644"/>
    <s v="Delivered"/>
  </r>
  <r>
    <s v="ORD0168"/>
    <x v="15"/>
    <s v="Kiran Patel"/>
    <x v="3"/>
    <x v="0"/>
    <n v="7"/>
    <n v="19738"/>
    <n v="138166"/>
    <s v="Delivered"/>
  </r>
  <r>
    <s v="ORD0169"/>
    <x v="7"/>
    <s v="Neha Reddy"/>
    <x v="4"/>
    <x v="4"/>
    <n v="2"/>
    <n v="2101"/>
    <n v="4202"/>
    <s v="Delivered"/>
  </r>
  <r>
    <s v="ORD0170"/>
    <x v="16"/>
    <s v="Kiran Patel"/>
    <x v="4"/>
    <x v="3"/>
    <n v="1"/>
    <n v="32590"/>
    <n v="32590"/>
    <s v="Shipped"/>
  </r>
  <r>
    <s v="ORD0171"/>
    <x v="10"/>
    <s v="Priya Nair"/>
    <x v="4"/>
    <x v="1"/>
    <n v="2"/>
    <n v="7566"/>
    <n v="15132"/>
    <s v="Delivered"/>
  </r>
  <r>
    <s v="ORD0172"/>
    <x v="9"/>
    <s v="Priya Nair"/>
    <x v="2"/>
    <x v="4"/>
    <n v="6"/>
    <n v="1810"/>
    <n v="10860"/>
    <s v="Cancelled"/>
  </r>
  <r>
    <s v="ORD0173"/>
    <x v="17"/>
    <s v="Kiran Patel"/>
    <x v="4"/>
    <x v="2"/>
    <n v="7"/>
    <n v="912"/>
    <n v="6384"/>
    <s v="Shipped"/>
  </r>
  <r>
    <s v="ORD0174"/>
    <x v="0"/>
    <s v="Sneha Rao"/>
    <x v="4"/>
    <x v="1"/>
    <n v="4"/>
    <n v="3589"/>
    <n v="14356"/>
    <s v="Delivered"/>
  </r>
  <r>
    <s v="ORD0175"/>
    <x v="13"/>
    <s v="Arjun Das"/>
    <x v="4"/>
    <x v="3"/>
    <n v="6"/>
    <n v="29168"/>
    <n v="175008"/>
    <s v="Delivered"/>
  </r>
  <r>
    <s v="ORD0176"/>
    <x v="3"/>
    <s v="Meera Iyer"/>
    <x v="2"/>
    <x v="1"/>
    <n v="2"/>
    <n v="947"/>
    <n v="1894"/>
    <s v="Shipped"/>
  </r>
  <r>
    <s v="ORD0177"/>
    <x v="7"/>
    <s v="Arjun Das"/>
    <x v="3"/>
    <x v="4"/>
    <n v="3"/>
    <n v="2528"/>
    <n v="7584"/>
    <s v="Delivered"/>
  </r>
  <r>
    <s v="ORD0178"/>
    <x v="1"/>
    <s v="Meera Iyer"/>
    <x v="3"/>
    <x v="1"/>
    <n v="6"/>
    <n v="7356"/>
    <n v="44136"/>
    <s v="Pending"/>
  </r>
  <r>
    <s v="ORD0179"/>
    <x v="10"/>
    <s v="Rahul Sharma"/>
    <x v="0"/>
    <x v="2"/>
    <n v="5"/>
    <n v="2980"/>
    <n v="14900"/>
    <s v="Delivered"/>
  </r>
  <r>
    <s v="ORD0180"/>
    <x v="17"/>
    <s v="Sneha Rao"/>
    <x v="2"/>
    <x v="1"/>
    <n v="4"/>
    <n v="7140"/>
    <n v="28560"/>
    <s v="Delivered"/>
  </r>
  <r>
    <s v="ORD0181"/>
    <x v="1"/>
    <s v="Meera Iyer"/>
    <x v="3"/>
    <x v="4"/>
    <n v="4"/>
    <n v="2007"/>
    <n v="8028"/>
    <s v="Shipped"/>
  </r>
  <r>
    <s v="ORD0182"/>
    <x v="1"/>
    <s v="Rahul Sharma"/>
    <x v="1"/>
    <x v="4"/>
    <n v="1"/>
    <n v="988"/>
    <n v="988"/>
    <s v="Delivered"/>
  </r>
  <r>
    <s v="ORD0183"/>
    <x v="5"/>
    <s v="Meera Iyer"/>
    <x v="0"/>
    <x v="3"/>
    <n v="3"/>
    <n v="10588"/>
    <n v="31764"/>
    <s v="Delivered"/>
  </r>
  <r>
    <s v="ORD0184"/>
    <x v="8"/>
    <s v="Priya Nair"/>
    <x v="2"/>
    <x v="3"/>
    <n v="2"/>
    <n v="35965"/>
    <n v="71930"/>
    <s v="Delivered"/>
  </r>
  <r>
    <s v="ORD0185"/>
    <x v="10"/>
    <s v="Neha Reddy"/>
    <x v="0"/>
    <x v="0"/>
    <n v="6"/>
    <n v="12711"/>
    <n v="76266"/>
    <s v="Pending"/>
  </r>
  <r>
    <s v="ORD0186"/>
    <x v="7"/>
    <s v="Rahul Sharma"/>
    <x v="2"/>
    <x v="0"/>
    <n v="1"/>
    <n v="24584"/>
    <n v="24584"/>
    <s v="Delivered"/>
  </r>
  <r>
    <s v="ORD0187"/>
    <x v="13"/>
    <s v="Arjun Das"/>
    <x v="4"/>
    <x v="2"/>
    <n v="8"/>
    <n v="3492"/>
    <n v="27936"/>
    <s v="Delivered"/>
  </r>
  <r>
    <s v="ORD0188"/>
    <x v="17"/>
    <s v="Priya Nair"/>
    <x v="0"/>
    <x v="1"/>
    <n v="2"/>
    <n v="2520"/>
    <n v="5040"/>
    <s v="Pending"/>
  </r>
  <r>
    <s v="ORD0189"/>
    <x v="14"/>
    <s v="Kiran Patel"/>
    <x v="3"/>
    <x v="0"/>
    <n v="7"/>
    <n v="22138"/>
    <n v="154966"/>
    <s v="Delivered"/>
  </r>
  <r>
    <s v="ORD0190"/>
    <x v="11"/>
    <s v="Kiran Patel"/>
    <x v="2"/>
    <x v="0"/>
    <n v="5"/>
    <n v="11984"/>
    <n v="59920"/>
    <s v="Delivered"/>
  </r>
  <r>
    <s v="ORD0191"/>
    <x v="12"/>
    <s v="Neha Reddy"/>
    <x v="4"/>
    <x v="0"/>
    <n v="3"/>
    <n v="14958"/>
    <n v="44874"/>
    <s v="Delivered"/>
  </r>
  <r>
    <s v="ORD0192"/>
    <x v="2"/>
    <s v="Meera Iyer"/>
    <x v="3"/>
    <x v="1"/>
    <n v="1"/>
    <n v="3773"/>
    <n v="3773"/>
    <s v="Delivered"/>
  </r>
  <r>
    <s v="ORD0193"/>
    <x v="7"/>
    <s v="Meera Iyer"/>
    <x v="1"/>
    <x v="1"/>
    <n v="7"/>
    <n v="6012"/>
    <n v="42084"/>
    <s v="Pending"/>
  </r>
  <r>
    <s v="ORD0194"/>
    <x v="5"/>
    <s v="Priya Nair"/>
    <x v="4"/>
    <x v="3"/>
    <n v="6"/>
    <n v="12463"/>
    <n v="74778"/>
    <s v="Shipped"/>
  </r>
  <r>
    <s v="ORD0195"/>
    <x v="13"/>
    <s v="Meera Iyer"/>
    <x v="3"/>
    <x v="1"/>
    <n v="2"/>
    <n v="2193"/>
    <n v="4386"/>
    <s v="Delivered"/>
  </r>
  <r>
    <s v="ORD0196"/>
    <x v="8"/>
    <s v="Priya Nair"/>
    <x v="4"/>
    <x v="4"/>
    <n v="6"/>
    <n v="1157"/>
    <n v="6942"/>
    <s v="Delivered"/>
  </r>
  <r>
    <s v="ORD0197"/>
    <x v="15"/>
    <s v="Priya Nair"/>
    <x v="1"/>
    <x v="3"/>
    <n v="4"/>
    <n v="24096"/>
    <n v="96384"/>
    <s v="Delivered"/>
  </r>
  <r>
    <s v="ORD0198"/>
    <x v="9"/>
    <s v="Sneha Rao"/>
    <x v="3"/>
    <x v="0"/>
    <n v="5"/>
    <n v="8964"/>
    <n v="44820"/>
    <s v="Delivered"/>
  </r>
  <r>
    <s v="ORD0199"/>
    <x v="9"/>
    <s v="Priya Nair"/>
    <x v="2"/>
    <x v="1"/>
    <n v="8"/>
    <n v="6380"/>
    <n v="51040"/>
    <s v="Delivered"/>
  </r>
  <r>
    <s v="ORD0200"/>
    <x v="13"/>
    <s v="Meera Iyer"/>
    <x v="0"/>
    <x v="0"/>
    <n v="8"/>
    <n v="4737"/>
    <n v="37896"/>
    <s v="Delivered"/>
  </r>
  <r>
    <s v="ORD0201"/>
    <x v="5"/>
    <s v="Kiran Patel"/>
    <x v="1"/>
    <x v="3"/>
    <n v="6"/>
    <n v="34448"/>
    <n v="206688"/>
    <s v="Delivered"/>
  </r>
  <r>
    <s v="ORD0202"/>
    <x v="13"/>
    <s v="Neha Reddy"/>
    <x v="3"/>
    <x v="3"/>
    <n v="6"/>
    <n v="20013"/>
    <n v="120078"/>
    <s v="Delivered"/>
  </r>
  <r>
    <s v="ORD0203"/>
    <x v="7"/>
    <s v="Arjun Das"/>
    <x v="4"/>
    <x v="2"/>
    <n v="1"/>
    <n v="3784"/>
    <n v="3784"/>
    <s v="Shipped"/>
  </r>
  <r>
    <s v="ORD0204"/>
    <x v="11"/>
    <s v="Meera Iyer"/>
    <x v="1"/>
    <x v="1"/>
    <n v="3"/>
    <n v="706"/>
    <n v="2118"/>
    <s v="Delivered"/>
  </r>
  <r>
    <s v="ORD0205"/>
    <x v="4"/>
    <s v="Priya Nair"/>
    <x v="1"/>
    <x v="0"/>
    <n v="1"/>
    <n v="10618"/>
    <n v="10618"/>
    <s v="Pending"/>
  </r>
  <r>
    <s v="ORD0206"/>
    <x v="13"/>
    <s v="Amit Kumar"/>
    <x v="0"/>
    <x v="4"/>
    <n v="5"/>
    <n v="1836"/>
    <n v="9180"/>
    <s v="Delivered"/>
  </r>
  <r>
    <s v="ORD0207"/>
    <x v="4"/>
    <s v="Rahul Sharma"/>
    <x v="0"/>
    <x v="3"/>
    <n v="6"/>
    <n v="7393"/>
    <n v="44358"/>
    <s v="Delivered"/>
  </r>
  <r>
    <s v="ORD0208"/>
    <x v="8"/>
    <s v="Kiran Patel"/>
    <x v="0"/>
    <x v="2"/>
    <n v="3"/>
    <n v="2830"/>
    <n v="8490"/>
    <s v="Delivered"/>
  </r>
  <r>
    <s v="ORD0209"/>
    <x v="9"/>
    <s v="Meera Iyer"/>
    <x v="0"/>
    <x v="1"/>
    <n v="3"/>
    <n v="5074"/>
    <n v="15222"/>
    <s v="Pending"/>
  </r>
  <r>
    <s v="ORD0210"/>
    <x v="7"/>
    <s v="Kiran Patel"/>
    <x v="1"/>
    <x v="1"/>
    <n v="6"/>
    <n v="6861"/>
    <n v="41166"/>
    <s v="Delivered"/>
  </r>
  <r>
    <s v="ORD0211"/>
    <x v="17"/>
    <s v="Priya Nair"/>
    <x v="4"/>
    <x v="2"/>
    <n v="6"/>
    <n v="249"/>
    <n v="1494"/>
    <s v="Delivered"/>
  </r>
  <r>
    <s v="ORD0212"/>
    <x v="15"/>
    <s v="Sneha Rao"/>
    <x v="0"/>
    <x v="1"/>
    <n v="4"/>
    <n v="2055"/>
    <n v="8220"/>
    <s v="Cancelled"/>
  </r>
  <r>
    <s v="ORD0213"/>
    <x v="9"/>
    <s v="Priya Nair"/>
    <x v="0"/>
    <x v="3"/>
    <n v="1"/>
    <n v="44580"/>
    <n v="44580"/>
    <s v="Delivered"/>
  </r>
  <r>
    <s v="ORD0214"/>
    <x v="9"/>
    <s v="Arjun Das"/>
    <x v="2"/>
    <x v="0"/>
    <n v="3"/>
    <n v="29741"/>
    <n v="89223"/>
    <s v="Pending"/>
  </r>
  <r>
    <s v="ORD0215"/>
    <x v="15"/>
    <s v="Neha Reddy"/>
    <x v="3"/>
    <x v="1"/>
    <n v="6"/>
    <n v="5740"/>
    <n v="34440"/>
    <s v="Pending"/>
  </r>
  <r>
    <s v="ORD0216"/>
    <x v="13"/>
    <s v="Kiran Patel"/>
    <x v="4"/>
    <x v="0"/>
    <n v="4"/>
    <n v="12640"/>
    <n v="50560"/>
    <s v="Cancelled"/>
  </r>
  <r>
    <s v="ORD0217"/>
    <x v="14"/>
    <s v="Sneha Rao"/>
    <x v="0"/>
    <x v="2"/>
    <n v="8"/>
    <n v="3882"/>
    <n v="31056"/>
    <s v="Shipped"/>
  </r>
  <r>
    <s v="ORD0218"/>
    <x v="8"/>
    <s v="Arjun Das"/>
    <x v="2"/>
    <x v="0"/>
    <n v="3"/>
    <n v="10692"/>
    <n v="32076"/>
    <s v="Delivered"/>
  </r>
  <r>
    <s v="ORD0219"/>
    <x v="14"/>
    <s v="Meera Iyer"/>
    <x v="1"/>
    <x v="3"/>
    <n v="2"/>
    <n v="19881"/>
    <n v="39762"/>
    <s v="Delivered"/>
  </r>
  <r>
    <s v="ORD0220"/>
    <x v="15"/>
    <s v="Kiran Patel"/>
    <x v="4"/>
    <x v="2"/>
    <n v="3"/>
    <n v="3683"/>
    <n v="11049"/>
    <s v="Delivered"/>
  </r>
  <r>
    <s v="ORD0221"/>
    <x v="2"/>
    <s v="Neha Reddy"/>
    <x v="0"/>
    <x v="3"/>
    <n v="7"/>
    <n v="4690"/>
    <n v="32830"/>
    <s v="Delivered"/>
  </r>
  <r>
    <s v="ORD0222"/>
    <x v="6"/>
    <s v="Sneha Rao"/>
    <x v="4"/>
    <x v="3"/>
    <n v="6"/>
    <n v="15915"/>
    <n v="95490"/>
    <s v="Delivered"/>
  </r>
  <r>
    <s v="ORD0223"/>
    <x v="0"/>
    <s v="Meera Iyer"/>
    <x v="2"/>
    <x v="0"/>
    <n v="1"/>
    <n v="11900"/>
    <n v="11900"/>
    <s v="Shipped"/>
  </r>
  <r>
    <s v="ORD0224"/>
    <x v="14"/>
    <s v="Amit Kumar"/>
    <x v="4"/>
    <x v="1"/>
    <n v="1"/>
    <n v="7620"/>
    <n v="7620"/>
    <s v="Delivered"/>
  </r>
  <r>
    <s v="ORD0225"/>
    <x v="3"/>
    <s v="Sneha Rao"/>
    <x v="2"/>
    <x v="2"/>
    <n v="7"/>
    <n v="1010"/>
    <n v="7070"/>
    <s v="Shipped"/>
  </r>
  <r>
    <s v="ORD0226"/>
    <x v="2"/>
    <s v="Kiran Patel"/>
    <x v="3"/>
    <x v="3"/>
    <n v="4"/>
    <n v="28713"/>
    <n v="114852"/>
    <s v="Pending"/>
  </r>
  <r>
    <s v="ORD0227"/>
    <x v="13"/>
    <s v="Priya Nair"/>
    <x v="3"/>
    <x v="1"/>
    <n v="1"/>
    <n v="5376"/>
    <n v="5376"/>
    <s v="Delivered"/>
  </r>
  <r>
    <s v="ORD0228"/>
    <x v="2"/>
    <s v="Amit Kumar"/>
    <x v="0"/>
    <x v="1"/>
    <n v="1"/>
    <n v="5236"/>
    <n v="5236"/>
    <s v="Delivered"/>
  </r>
  <r>
    <s v="ORD0229"/>
    <x v="10"/>
    <s v="Amit Kumar"/>
    <x v="3"/>
    <x v="2"/>
    <n v="6"/>
    <n v="654"/>
    <n v="3924"/>
    <s v="Cancelled"/>
  </r>
  <r>
    <s v="ORD0230"/>
    <x v="1"/>
    <s v="Rahul Sharma"/>
    <x v="4"/>
    <x v="1"/>
    <n v="1"/>
    <n v="5407"/>
    <n v="5407"/>
    <s v="Delivered"/>
  </r>
  <r>
    <s v="ORD0231"/>
    <x v="6"/>
    <s v="Kiran Patel"/>
    <x v="3"/>
    <x v="4"/>
    <n v="2"/>
    <n v="1662"/>
    <n v="3324"/>
    <s v="Delivered"/>
  </r>
  <r>
    <s v="ORD0232"/>
    <x v="0"/>
    <s v="Meera Iyer"/>
    <x v="2"/>
    <x v="3"/>
    <n v="6"/>
    <n v="36983"/>
    <n v="221898"/>
    <s v="Delivered"/>
  </r>
  <r>
    <s v="ORD0233"/>
    <x v="15"/>
    <s v="Neha Reddy"/>
    <x v="4"/>
    <x v="0"/>
    <n v="3"/>
    <n v="4567"/>
    <n v="13701"/>
    <s v="Pending"/>
  </r>
  <r>
    <s v="ORD0234"/>
    <x v="13"/>
    <s v="Rahul Sharma"/>
    <x v="0"/>
    <x v="0"/>
    <n v="1"/>
    <n v="28423"/>
    <n v="28423"/>
    <s v="Delivered"/>
  </r>
  <r>
    <s v="ORD0235"/>
    <x v="16"/>
    <s v="Meera Iyer"/>
    <x v="0"/>
    <x v="2"/>
    <n v="7"/>
    <n v="4548"/>
    <n v="31836"/>
    <s v="Delivered"/>
  </r>
  <r>
    <s v="ORD0236"/>
    <x v="16"/>
    <s v="Sneha Rao"/>
    <x v="0"/>
    <x v="4"/>
    <n v="1"/>
    <n v="2935"/>
    <n v="2935"/>
    <s v="Delivered"/>
  </r>
  <r>
    <s v="ORD0237"/>
    <x v="0"/>
    <s v="Meera Iyer"/>
    <x v="4"/>
    <x v="1"/>
    <n v="8"/>
    <n v="7528"/>
    <n v="60224"/>
    <s v="Cancelled"/>
  </r>
  <r>
    <s v="ORD0238"/>
    <x v="4"/>
    <s v="Amit Kumar"/>
    <x v="4"/>
    <x v="1"/>
    <n v="6"/>
    <n v="7771"/>
    <n v="46626"/>
    <s v="Shipped"/>
  </r>
  <r>
    <s v="ORD0239"/>
    <x v="3"/>
    <s v="Priya Nair"/>
    <x v="4"/>
    <x v="3"/>
    <n v="7"/>
    <n v="40682"/>
    <n v="284774"/>
    <s v="Cancelled"/>
  </r>
  <r>
    <s v="ORD0240"/>
    <x v="15"/>
    <s v="Kiran Patel"/>
    <x v="0"/>
    <x v="3"/>
    <n v="2"/>
    <n v="22690"/>
    <n v="45380"/>
    <s v="Pending"/>
  </r>
  <r>
    <s v="ORD0241"/>
    <x v="5"/>
    <s v="Neha Reddy"/>
    <x v="1"/>
    <x v="1"/>
    <n v="3"/>
    <n v="5850"/>
    <n v="17550"/>
    <s v="Delivered"/>
  </r>
  <r>
    <s v="ORD0242"/>
    <x v="13"/>
    <s v="Rahul Sharma"/>
    <x v="0"/>
    <x v="2"/>
    <n v="7"/>
    <n v="2349"/>
    <n v="16443"/>
    <s v="Pending"/>
  </r>
  <r>
    <s v="ORD0243"/>
    <x v="16"/>
    <s v="Priya Nair"/>
    <x v="4"/>
    <x v="4"/>
    <n v="3"/>
    <n v="377"/>
    <n v="1131"/>
    <s v="Delivered"/>
  </r>
  <r>
    <s v="ORD0244"/>
    <x v="13"/>
    <s v="Rahul Sharma"/>
    <x v="2"/>
    <x v="3"/>
    <n v="4"/>
    <n v="43481"/>
    <n v="173924"/>
    <s v="Delivered"/>
  </r>
  <r>
    <s v="ORD0245"/>
    <x v="8"/>
    <s v="Rahul Sharma"/>
    <x v="1"/>
    <x v="0"/>
    <n v="8"/>
    <n v="14655"/>
    <n v="117240"/>
    <s v="Delivered"/>
  </r>
  <r>
    <s v="ORD0246"/>
    <x v="7"/>
    <s v="Amit Kumar"/>
    <x v="1"/>
    <x v="4"/>
    <n v="7"/>
    <n v="1537"/>
    <n v="10759"/>
    <s v="Pending"/>
  </r>
  <r>
    <s v="ORD0247"/>
    <x v="2"/>
    <s v="Priya Nair"/>
    <x v="3"/>
    <x v="0"/>
    <n v="8"/>
    <n v="19465"/>
    <n v="155720"/>
    <s v="Delivered"/>
  </r>
  <r>
    <s v="ORD0248"/>
    <x v="1"/>
    <s v="Priya Nair"/>
    <x v="0"/>
    <x v="4"/>
    <n v="8"/>
    <n v="1128"/>
    <n v="9024"/>
    <s v="Cancelled"/>
  </r>
  <r>
    <s v="ORD0249"/>
    <x v="5"/>
    <s v="Neha Reddy"/>
    <x v="2"/>
    <x v="3"/>
    <n v="3"/>
    <n v="6053"/>
    <n v="18159"/>
    <s v="Delivered"/>
  </r>
  <r>
    <s v="ORD0250"/>
    <x v="13"/>
    <s v="Priya Nair"/>
    <x v="0"/>
    <x v="4"/>
    <n v="2"/>
    <n v="2502"/>
    <n v="5004"/>
    <s v="Delivered"/>
  </r>
  <r>
    <s v="ORD0251"/>
    <x v="5"/>
    <s v="Amit Kumar"/>
    <x v="2"/>
    <x v="4"/>
    <n v="4"/>
    <n v="747"/>
    <n v="2988"/>
    <s v="Cancelled"/>
  </r>
  <r>
    <s v="ORD0252"/>
    <x v="9"/>
    <s v="Sneha Rao"/>
    <x v="4"/>
    <x v="3"/>
    <n v="6"/>
    <n v="37508"/>
    <n v="225048"/>
    <s v="Delivered"/>
  </r>
  <r>
    <s v="ORD0253"/>
    <x v="13"/>
    <s v="Amit Kumar"/>
    <x v="1"/>
    <x v="3"/>
    <n v="2"/>
    <n v="21469"/>
    <n v="42938"/>
    <s v="Delivered"/>
  </r>
  <r>
    <s v="ORD0254"/>
    <x v="14"/>
    <s v="Arjun Das"/>
    <x v="4"/>
    <x v="2"/>
    <n v="2"/>
    <n v="1126"/>
    <n v="2252"/>
    <s v="Cancelled"/>
  </r>
  <r>
    <s v="ORD0255"/>
    <x v="7"/>
    <s v="Neha Reddy"/>
    <x v="4"/>
    <x v="2"/>
    <n v="6"/>
    <n v="1151"/>
    <n v="6906"/>
    <s v="Shipped"/>
  </r>
  <r>
    <s v="ORD0256"/>
    <x v="1"/>
    <s v="Amit Kumar"/>
    <x v="2"/>
    <x v="1"/>
    <n v="1"/>
    <n v="7010"/>
    <n v="7010"/>
    <s v="Delivered"/>
  </r>
  <r>
    <s v="ORD0257"/>
    <x v="9"/>
    <s v="Kiran Patel"/>
    <x v="2"/>
    <x v="0"/>
    <n v="6"/>
    <n v="25743"/>
    <n v="154458"/>
    <s v="Delivered"/>
  </r>
  <r>
    <s v="ORD0258"/>
    <x v="17"/>
    <s v="Kiran Patel"/>
    <x v="3"/>
    <x v="4"/>
    <n v="4"/>
    <n v="2851"/>
    <n v="11404"/>
    <s v="Cancelled"/>
  </r>
  <r>
    <s v="ORD0259"/>
    <x v="3"/>
    <s v="Amit Kumar"/>
    <x v="0"/>
    <x v="2"/>
    <n v="2"/>
    <n v="4217"/>
    <n v="8434"/>
    <s v="Pending"/>
  </r>
  <r>
    <s v="ORD0260"/>
    <x v="9"/>
    <s v="Amit Kumar"/>
    <x v="1"/>
    <x v="2"/>
    <n v="6"/>
    <n v="4717"/>
    <n v="28302"/>
    <s v="Delivered"/>
  </r>
  <r>
    <s v="ORD0261"/>
    <x v="12"/>
    <s v="Priya Nair"/>
    <x v="3"/>
    <x v="2"/>
    <n v="5"/>
    <n v="5434"/>
    <n v="27170"/>
    <s v="Delivered"/>
  </r>
  <r>
    <s v="ORD0262"/>
    <x v="10"/>
    <s v="Rahul Sharma"/>
    <x v="4"/>
    <x v="2"/>
    <n v="5"/>
    <n v="5358"/>
    <n v="26790"/>
    <s v="Cancelled"/>
  </r>
  <r>
    <s v="ORD0263"/>
    <x v="14"/>
    <s v="Sneha Rao"/>
    <x v="4"/>
    <x v="4"/>
    <n v="8"/>
    <n v="548"/>
    <n v="4384"/>
    <s v="Pending"/>
  </r>
  <r>
    <s v="ORD0264"/>
    <x v="15"/>
    <s v="Neha Reddy"/>
    <x v="4"/>
    <x v="1"/>
    <n v="8"/>
    <n v="1871"/>
    <n v="14968"/>
    <s v="Delivered"/>
  </r>
  <r>
    <s v="ORD0265"/>
    <x v="9"/>
    <s v="Meera Iyer"/>
    <x v="0"/>
    <x v="4"/>
    <n v="7"/>
    <n v="785"/>
    <n v="5495"/>
    <s v="Shipped"/>
  </r>
  <r>
    <s v="ORD0266"/>
    <x v="17"/>
    <s v="Priya Nair"/>
    <x v="0"/>
    <x v="0"/>
    <n v="8"/>
    <n v="6514"/>
    <n v="52112"/>
    <s v="Delivered"/>
  </r>
  <r>
    <s v="ORD0267"/>
    <x v="2"/>
    <s v="Amit Kumar"/>
    <x v="3"/>
    <x v="3"/>
    <n v="5"/>
    <n v="26375"/>
    <n v="131875"/>
    <s v="Shipped"/>
  </r>
  <r>
    <s v="ORD0268"/>
    <x v="10"/>
    <s v="Sneha Rao"/>
    <x v="2"/>
    <x v="4"/>
    <n v="6"/>
    <n v="1027"/>
    <n v="6162"/>
    <s v="Shipped"/>
  </r>
  <r>
    <s v="ORD0269"/>
    <x v="14"/>
    <s v="Neha Reddy"/>
    <x v="4"/>
    <x v="4"/>
    <n v="8"/>
    <n v="344"/>
    <n v="2752"/>
    <s v="Delivered"/>
  </r>
  <r>
    <s v="ORD0270"/>
    <x v="8"/>
    <s v="Neha Reddy"/>
    <x v="2"/>
    <x v="0"/>
    <n v="6"/>
    <n v="4094"/>
    <n v="24564"/>
    <s v="Delivered"/>
  </r>
  <r>
    <s v="ORD0271"/>
    <x v="14"/>
    <s v="Neha Reddy"/>
    <x v="0"/>
    <x v="2"/>
    <n v="1"/>
    <n v="980"/>
    <n v="980"/>
    <s v="Delivered"/>
  </r>
  <r>
    <s v="ORD0272"/>
    <x v="3"/>
    <s v="Meera Iyer"/>
    <x v="4"/>
    <x v="4"/>
    <n v="1"/>
    <n v="1890"/>
    <n v="1890"/>
    <s v="Delivered"/>
  </r>
  <r>
    <s v="ORD0273"/>
    <x v="1"/>
    <s v="Sneha Rao"/>
    <x v="0"/>
    <x v="2"/>
    <n v="5"/>
    <n v="702"/>
    <n v="3510"/>
    <s v="Delivered"/>
  </r>
  <r>
    <s v="ORD0274"/>
    <x v="13"/>
    <s v="Kiran Patel"/>
    <x v="1"/>
    <x v="2"/>
    <n v="2"/>
    <n v="1154"/>
    <n v="2308"/>
    <s v="Cancelled"/>
  </r>
  <r>
    <s v="ORD0275"/>
    <x v="8"/>
    <s v="Meera Iyer"/>
    <x v="0"/>
    <x v="2"/>
    <n v="6"/>
    <n v="1281"/>
    <n v="7686"/>
    <s v="Delivered"/>
  </r>
  <r>
    <s v="ORD0276"/>
    <x v="17"/>
    <s v="Arjun Das"/>
    <x v="1"/>
    <x v="3"/>
    <n v="1"/>
    <n v="3750"/>
    <n v="3750"/>
    <s v="Delivered"/>
  </r>
  <r>
    <s v="ORD0277"/>
    <x v="4"/>
    <s v="Neha Reddy"/>
    <x v="1"/>
    <x v="1"/>
    <n v="3"/>
    <n v="5166"/>
    <n v="15498"/>
    <s v="Shipped"/>
  </r>
  <r>
    <s v="ORD0278"/>
    <x v="9"/>
    <s v="Meera Iyer"/>
    <x v="1"/>
    <x v="4"/>
    <n v="3"/>
    <n v="1859"/>
    <n v="5577"/>
    <s v="Cancelled"/>
  </r>
  <r>
    <s v="ORD0279"/>
    <x v="5"/>
    <s v="Meera Iyer"/>
    <x v="1"/>
    <x v="2"/>
    <n v="8"/>
    <n v="4711"/>
    <n v="37688"/>
    <s v="Delivered"/>
  </r>
  <r>
    <s v="ORD0280"/>
    <x v="12"/>
    <s v="Meera Iyer"/>
    <x v="0"/>
    <x v="3"/>
    <n v="7"/>
    <n v="39453"/>
    <n v="276171"/>
    <s v="Delivered"/>
  </r>
  <r>
    <s v="ORD0281"/>
    <x v="12"/>
    <s v="Neha Reddy"/>
    <x v="0"/>
    <x v="2"/>
    <n v="4"/>
    <n v="520"/>
    <n v="2080"/>
    <s v="Delivered"/>
  </r>
  <r>
    <s v="ORD0282"/>
    <x v="15"/>
    <s v="Arjun Das"/>
    <x v="2"/>
    <x v="0"/>
    <n v="1"/>
    <n v="21261"/>
    <n v="21261"/>
    <s v="Shipped"/>
  </r>
  <r>
    <s v="ORD0283"/>
    <x v="0"/>
    <s v="Sneha Rao"/>
    <x v="3"/>
    <x v="1"/>
    <n v="6"/>
    <n v="3630"/>
    <n v="21780"/>
    <s v="Delivered"/>
  </r>
  <r>
    <s v="ORD0284"/>
    <x v="11"/>
    <s v="Arjun Das"/>
    <x v="1"/>
    <x v="2"/>
    <n v="8"/>
    <n v="610"/>
    <n v="4880"/>
    <s v="Pending"/>
  </r>
  <r>
    <s v="ORD0285"/>
    <x v="17"/>
    <s v="Sneha Rao"/>
    <x v="1"/>
    <x v="4"/>
    <n v="8"/>
    <n v="2402"/>
    <n v="19216"/>
    <s v="Delivered"/>
  </r>
  <r>
    <s v="ORD0286"/>
    <x v="15"/>
    <s v="Neha Reddy"/>
    <x v="1"/>
    <x v="4"/>
    <n v="6"/>
    <n v="3018"/>
    <n v="18108"/>
    <s v="Shipped"/>
  </r>
  <r>
    <s v="ORD0287"/>
    <x v="3"/>
    <s v="Neha Reddy"/>
    <x v="2"/>
    <x v="0"/>
    <n v="5"/>
    <n v="20787"/>
    <n v="103935"/>
    <s v="Delivered"/>
  </r>
  <r>
    <s v="ORD0288"/>
    <x v="5"/>
    <s v="Kiran Patel"/>
    <x v="2"/>
    <x v="1"/>
    <n v="6"/>
    <n v="4130"/>
    <n v="24780"/>
    <s v="Delivered"/>
  </r>
  <r>
    <s v="ORD0289"/>
    <x v="3"/>
    <s v="Kiran Patel"/>
    <x v="3"/>
    <x v="2"/>
    <n v="7"/>
    <n v="3332"/>
    <n v="23324"/>
    <s v="Shipped"/>
  </r>
  <r>
    <s v="ORD0290"/>
    <x v="9"/>
    <s v="Kiran Patel"/>
    <x v="3"/>
    <x v="4"/>
    <n v="2"/>
    <n v="1668"/>
    <n v="3336"/>
    <s v="Shipped"/>
  </r>
  <r>
    <s v="ORD0291"/>
    <x v="3"/>
    <s v="Neha Reddy"/>
    <x v="2"/>
    <x v="0"/>
    <n v="5"/>
    <n v="20916"/>
    <n v="104580"/>
    <s v="Pending"/>
  </r>
  <r>
    <s v="ORD0292"/>
    <x v="9"/>
    <s v="Priya Nair"/>
    <x v="1"/>
    <x v="2"/>
    <n v="4"/>
    <n v="2086"/>
    <n v="8344"/>
    <s v="Delivered"/>
  </r>
  <r>
    <s v="ORD0293"/>
    <x v="17"/>
    <s v="Sneha Rao"/>
    <x v="2"/>
    <x v="3"/>
    <n v="2"/>
    <n v="28286"/>
    <n v="56572"/>
    <s v="Delivered"/>
  </r>
  <r>
    <s v="ORD0294"/>
    <x v="14"/>
    <s v="Priya Nair"/>
    <x v="2"/>
    <x v="3"/>
    <n v="3"/>
    <n v="27867"/>
    <n v="83601"/>
    <s v="Pending"/>
  </r>
  <r>
    <s v="ORD0295"/>
    <x v="14"/>
    <s v="Neha Reddy"/>
    <x v="2"/>
    <x v="4"/>
    <n v="6"/>
    <n v="1419"/>
    <n v="8514"/>
    <s v="Pending"/>
  </r>
  <r>
    <s v="ORD0296"/>
    <x v="7"/>
    <s v="Sneha Rao"/>
    <x v="1"/>
    <x v="3"/>
    <n v="3"/>
    <n v="28586"/>
    <n v="85758"/>
    <s v="Shipped"/>
  </r>
  <r>
    <s v="ORD0297"/>
    <x v="15"/>
    <s v="Rahul Sharma"/>
    <x v="4"/>
    <x v="1"/>
    <n v="3"/>
    <n v="7872"/>
    <n v="23616"/>
    <s v="Pending"/>
  </r>
  <r>
    <s v="ORD0298"/>
    <x v="5"/>
    <s v="Rahul Sharma"/>
    <x v="3"/>
    <x v="4"/>
    <n v="2"/>
    <n v="1622"/>
    <n v="3244"/>
    <s v="Delivered"/>
  </r>
  <r>
    <s v="ORD0299"/>
    <x v="1"/>
    <s v="Neha Reddy"/>
    <x v="2"/>
    <x v="2"/>
    <n v="8"/>
    <n v="2335"/>
    <n v="18680"/>
    <s v="Delivered"/>
  </r>
  <r>
    <s v="ORD0300"/>
    <x v="0"/>
    <s v="Meera Iyer"/>
    <x v="2"/>
    <x v="1"/>
    <n v="5"/>
    <n v="6086"/>
    <n v="30430"/>
    <s v="Delivered"/>
  </r>
  <r>
    <s v="ORD0301"/>
    <x v="4"/>
    <s v="Kiran Patel"/>
    <x v="1"/>
    <x v="0"/>
    <n v="3"/>
    <n v="22519"/>
    <n v="67557"/>
    <s v="Shipped"/>
  </r>
  <r>
    <s v="ORD0302"/>
    <x v="8"/>
    <s v="Arjun Das"/>
    <x v="1"/>
    <x v="4"/>
    <n v="2"/>
    <n v="1891"/>
    <n v="3782"/>
    <s v="Pending"/>
  </r>
  <r>
    <s v="ORD0303"/>
    <x v="15"/>
    <s v="Amit Kumar"/>
    <x v="4"/>
    <x v="4"/>
    <n v="4"/>
    <n v="277"/>
    <n v="1108"/>
    <s v="Delivered"/>
  </r>
  <r>
    <s v="ORD0304"/>
    <x v="2"/>
    <s v="Neha Reddy"/>
    <x v="0"/>
    <x v="4"/>
    <n v="5"/>
    <n v="2635"/>
    <n v="13175"/>
    <s v="Pending"/>
  </r>
  <r>
    <s v="ORD0305"/>
    <x v="12"/>
    <s v="Kiran Patel"/>
    <x v="0"/>
    <x v="0"/>
    <n v="1"/>
    <n v="24382"/>
    <n v="24382"/>
    <s v="Delivered"/>
  </r>
  <r>
    <s v="ORD0306"/>
    <x v="5"/>
    <s v="Amit Kumar"/>
    <x v="4"/>
    <x v="2"/>
    <n v="5"/>
    <n v="1061"/>
    <n v="5305"/>
    <s v="Pending"/>
  </r>
  <r>
    <s v="ORD0307"/>
    <x v="5"/>
    <s v="Meera Iyer"/>
    <x v="1"/>
    <x v="0"/>
    <n v="4"/>
    <n v="6876"/>
    <n v="27504"/>
    <s v="Delivered"/>
  </r>
  <r>
    <s v="ORD0308"/>
    <x v="13"/>
    <s v="Meera Iyer"/>
    <x v="4"/>
    <x v="2"/>
    <n v="8"/>
    <n v="4503"/>
    <n v="36024"/>
    <s v="Shipped"/>
  </r>
  <r>
    <s v="ORD0309"/>
    <x v="11"/>
    <s v="Sneha Rao"/>
    <x v="1"/>
    <x v="3"/>
    <n v="8"/>
    <n v="35814"/>
    <n v="286512"/>
    <s v="Pending"/>
  </r>
  <r>
    <s v="ORD0310"/>
    <x v="7"/>
    <s v="Priya Nair"/>
    <x v="3"/>
    <x v="2"/>
    <n v="4"/>
    <n v="4791"/>
    <n v="19164"/>
    <s v="Delivered"/>
  </r>
  <r>
    <s v="ORD0311"/>
    <x v="15"/>
    <s v="Meera Iyer"/>
    <x v="1"/>
    <x v="1"/>
    <n v="2"/>
    <n v="5772"/>
    <n v="11544"/>
    <s v="Delivered"/>
  </r>
  <r>
    <s v="ORD0312"/>
    <x v="14"/>
    <s v="Priya Nair"/>
    <x v="1"/>
    <x v="1"/>
    <n v="1"/>
    <n v="3914"/>
    <n v="3914"/>
    <s v="Delivered"/>
  </r>
  <r>
    <s v="ORD0313"/>
    <x v="10"/>
    <s v="Neha Reddy"/>
    <x v="1"/>
    <x v="3"/>
    <n v="8"/>
    <n v="21396"/>
    <n v="171168"/>
    <s v="Pending"/>
  </r>
  <r>
    <s v="ORD0314"/>
    <x v="8"/>
    <s v="Kiran Patel"/>
    <x v="3"/>
    <x v="0"/>
    <n v="2"/>
    <n v="3984"/>
    <n v="7968"/>
    <s v="Delivered"/>
  </r>
  <r>
    <s v="ORD0315"/>
    <x v="7"/>
    <s v="Rahul Sharma"/>
    <x v="3"/>
    <x v="1"/>
    <n v="1"/>
    <n v="2551"/>
    <n v="2551"/>
    <s v="Delivered"/>
  </r>
  <r>
    <s v="ORD0316"/>
    <x v="9"/>
    <s v="Arjun Das"/>
    <x v="0"/>
    <x v="1"/>
    <n v="8"/>
    <n v="7323"/>
    <n v="58584"/>
    <s v="Shipped"/>
  </r>
  <r>
    <s v="ORD0317"/>
    <x v="8"/>
    <s v="Arjun Das"/>
    <x v="3"/>
    <x v="2"/>
    <n v="3"/>
    <n v="5453"/>
    <n v="16359"/>
    <s v="Shipped"/>
  </r>
  <r>
    <s v="ORD0318"/>
    <x v="0"/>
    <s v="Amit Kumar"/>
    <x v="1"/>
    <x v="1"/>
    <n v="3"/>
    <n v="6162"/>
    <n v="18486"/>
    <s v="Cancelled"/>
  </r>
  <r>
    <s v="ORD0319"/>
    <x v="12"/>
    <s v="Rahul Sharma"/>
    <x v="0"/>
    <x v="1"/>
    <n v="7"/>
    <n v="4557"/>
    <n v="31899"/>
    <s v="Delivered"/>
  </r>
  <r>
    <s v="ORD0320"/>
    <x v="2"/>
    <s v="Sneha Rao"/>
    <x v="4"/>
    <x v="4"/>
    <n v="3"/>
    <n v="1379"/>
    <n v="4137"/>
    <s v="Delivered"/>
  </r>
  <r>
    <s v="ORD0321"/>
    <x v="0"/>
    <s v="Rahul Sharma"/>
    <x v="4"/>
    <x v="2"/>
    <n v="1"/>
    <n v="2071"/>
    <n v="2071"/>
    <s v="Delivered"/>
  </r>
  <r>
    <s v="ORD0322"/>
    <x v="0"/>
    <s v="Rahul Sharma"/>
    <x v="4"/>
    <x v="2"/>
    <n v="1"/>
    <n v="2104"/>
    <n v="2104"/>
    <s v="Pending"/>
  </r>
  <r>
    <s v="ORD0323"/>
    <x v="8"/>
    <s v="Neha Reddy"/>
    <x v="2"/>
    <x v="2"/>
    <n v="4"/>
    <n v="562"/>
    <n v="2248"/>
    <s v="Delivered"/>
  </r>
  <r>
    <s v="ORD0324"/>
    <x v="5"/>
    <s v="Sneha Rao"/>
    <x v="1"/>
    <x v="4"/>
    <n v="6"/>
    <n v="1220"/>
    <n v="7320"/>
    <s v="Delivered"/>
  </r>
  <r>
    <s v="ORD0325"/>
    <x v="9"/>
    <s v="Sneha Rao"/>
    <x v="4"/>
    <x v="4"/>
    <n v="5"/>
    <n v="499"/>
    <n v="2495"/>
    <s v="Delivered"/>
  </r>
  <r>
    <s v="ORD0326"/>
    <x v="15"/>
    <s v="Arjun Das"/>
    <x v="1"/>
    <x v="1"/>
    <n v="1"/>
    <n v="3021"/>
    <n v="3021"/>
    <s v="Shipped"/>
  </r>
  <r>
    <s v="ORD0327"/>
    <x v="8"/>
    <s v="Meera Iyer"/>
    <x v="4"/>
    <x v="1"/>
    <n v="3"/>
    <n v="2656"/>
    <n v="7968"/>
    <s v="Delivered"/>
  </r>
  <r>
    <s v="ORD0328"/>
    <x v="1"/>
    <s v="Neha Reddy"/>
    <x v="2"/>
    <x v="0"/>
    <n v="5"/>
    <n v="25685"/>
    <n v="128425"/>
    <s v="Delivered"/>
  </r>
  <r>
    <s v="ORD0329"/>
    <x v="13"/>
    <s v="Rahul Sharma"/>
    <x v="1"/>
    <x v="1"/>
    <n v="7"/>
    <n v="4765"/>
    <n v="33355"/>
    <s v="Delivered"/>
  </r>
  <r>
    <s v="ORD0330"/>
    <x v="8"/>
    <s v="Sneha Rao"/>
    <x v="0"/>
    <x v="0"/>
    <n v="6"/>
    <n v="23691"/>
    <n v="142146"/>
    <s v="Delivered"/>
  </r>
  <r>
    <s v="ORD0331"/>
    <x v="13"/>
    <s v="Meera Iyer"/>
    <x v="3"/>
    <x v="2"/>
    <n v="4"/>
    <n v="522"/>
    <n v="2088"/>
    <s v="Delivered"/>
  </r>
  <r>
    <s v="ORD0332"/>
    <x v="16"/>
    <s v="Priya Nair"/>
    <x v="2"/>
    <x v="2"/>
    <n v="4"/>
    <n v="4027"/>
    <n v="16108"/>
    <s v="Delivered"/>
  </r>
  <r>
    <s v="ORD0333"/>
    <x v="4"/>
    <s v="Kiran Patel"/>
    <x v="3"/>
    <x v="0"/>
    <n v="4"/>
    <n v="26796"/>
    <n v="107184"/>
    <s v="Delivered"/>
  </r>
  <r>
    <s v="ORD0334"/>
    <x v="14"/>
    <s v="Sneha Rao"/>
    <x v="1"/>
    <x v="0"/>
    <n v="7"/>
    <n v="10342"/>
    <n v="72394"/>
    <s v="Delivered"/>
  </r>
  <r>
    <s v="ORD0335"/>
    <x v="5"/>
    <s v="Arjun Das"/>
    <x v="4"/>
    <x v="2"/>
    <n v="6"/>
    <n v="2626"/>
    <n v="15756"/>
    <s v="Delivered"/>
  </r>
  <r>
    <s v="ORD0336"/>
    <x v="17"/>
    <s v="Neha Reddy"/>
    <x v="4"/>
    <x v="3"/>
    <n v="8"/>
    <n v="22186"/>
    <n v="177488"/>
    <s v="Shipped"/>
  </r>
  <r>
    <s v="ORD0337"/>
    <x v="6"/>
    <s v="Meera Iyer"/>
    <x v="4"/>
    <x v="3"/>
    <n v="4"/>
    <n v="10763"/>
    <n v="43052"/>
    <s v="Delivered"/>
  </r>
  <r>
    <s v="ORD0338"/>
    <x v="1"/>
    <s v="Arjun Das"/>
    <x v="0"/>
    <x v="0"/>
    <n v="4"/>
    <n v="13309"/>
    <n v="53236"/>
    <s v="Delivered"/>
  </r>
  <r>
    <s v="ORD0339"/>
    <x v="2"/>
    <s v="Neha Reddy"/>
    <x v="1"/>
    <x v="4"/>
    <n v="5"/>
    <n v="3376"/>
    <n v="16880"/>
    <s v="Shipped"/>
  </r>
  <r>
    <s v="ORD0340"/>
    <x v="14"/>
    <s v="Neha Reddy"/>
    <x v="2"/>
    <x v="4"/>
    <n v="3"/>
    <n v="823"/>
    <n v="2469"/>
    <s v="Pending"/>
  </r>
  <r>
    <s v="ORD0341"/>
    <x v="14"/>
    <s v="Amit Kumar"/>
    <x v="1"/>
    <x v="3"/>
    <n v="1"/>
    <n v="6071"/>
    <n v="6071"/>
    <s v="Shipped"/>
  </r>
  <r>
    <s v="ORD0342"/>
    <x v="16"/>
    <s v="Rahul Sharma"/>
    <x v="4"/>
    <x v="0"/>
    <n v="4"/>
    <n v="4727"/>
    <n v="18908"/>
    <s v="Pending"/>
  </r>
  <r>
    <s v="ORD0343"/>
    <x v="12"/>
    <s v="Sneha Rao"/>
    <x v="1"/>
    <x v="1"/>
    <n v="6"/>
    <n v="695"/>
    <n v="4170"/>
    <s v="Delivered"/>
  </r>
  <r>
    <s v="ORD0344"/>
    <x v="14"/>
    <s v="Neha Reddy"/>
    <x v="3"/>
    <x v="3"/>
    <n v="7"/>
    <n v="1976"/>
    <n v="13832"/>
    <s v="Delivered"/>
  </r>
  <r>
    <s v="ORD0345"/>
    <x v="3"/>
    <s v="Kiran Patel"/>
    <x v="3"/>
    <x v="2"/>
    <n v="7"/>
    <n v="1568"/>
    <n v="10976"/>
    <s v="Delivered"/>
  </r>
  <r>
    <s v="ORD0346"/>
    <x v="0"/>
    <s v="Amit Kumar"/>
    <x v="2"/>
    <x v="0"/>
    <n v="5"/>
    <n v="29212"/>
    <n v="146060"/>
    <s v="Delivered"/>
  </r>
  <r>
    <s v="ORD0347"/>
    <x v="8"/>
    <s v="Priya Nair"/>
    <x v="0"/>
    <x v="1"/>
    <n v="8"/>
    <n v="4828"/>
    <n v="38624"/>
    <s v="Delivered"/>
  </r>
  <r>
    <s v="ORD0348"/>
    <x v="2"/>
    <s v="Kiran Patel"/>
    <x v="3"/>
    <x v="3"/>
    <n v="2"/>
    <n v="27760"/>
    <n v="55520"/>
    <s v="Delivered"/>
  </r>
  <r>
    <s v="ORD0349"/>
    <x v="1"/>
    <s v="Neha Reddy"/>
    <x v="3"/>
    <x v="3"/>
    <n v="3"/>
    <n v="6618"/>
    <n v="19854"/>
    <s v="Delivered"/>
  </r>
  <r>
    <s v="ORD0350"/>
    <x v="10"/>
    <s v="Meera Iyer"/>
    <x v="1"/>
    <x v="3"/>
    <n v="1"/>
    <n v="16257"/>
    <n v="16257"/>
    <s v="Delivered"/>
  </r>
  <r>
    <s v="ORD0351"/>
    <x v="14"/>
    <s v="Kiran Patel"/>
    <x v="3"/>
    <x v="3"/>
    <n v="5"/>
    <n v="36788"/>
    <n v="183940"/>
    <s v="Delivered"/>
  </r>
  <r>
    <s v="ORD0352"/>
    <x v="16"/>
    <s v="Amit Kumar"/>
    <x v="0"/>
    <x v="3"/>
    <n v="4"/>
    <n v="39671"/>
    <n v="158684"/>
    <s v="Delivered"/>
  </r>
  <r>
    <s v="ORD0353"/>
    <x v="8"/>
    <s v="Priya Nair"/>
    <x v="0"/>
    <x v="0"/>
    <n v="4"/>
    <n v="21069"/>
    <n v="84276"/>
    <s v="Shipped"/>
  </r>
  <r>
    <s v="ORD0354"/>
    <x v="8"/>
    <s v="Meera Iyer"/>
    <x v="4"/>
    <x v="0"/>
    <n v="2"/>
    <n v="18909"/>
    <n v="37818"/>
    <s v="Pending"/>
  </r>
  <r>
    <s v="ORD0355"/>
    <x v="6"/>
    <s v="Rahul Sharma"/>
    <x v="3"/>
    <x v="1"/>
    <n v="4"/>
    <n v="7070"/>
    <n v="28280"/>
    <s v="Delivered"/>
  </r>
  <r>
    <s v="ORD0356"/>
    <x v="8"/>
    <s v="Meera Iyer"/>
    <x v="3"/>
    <x v="4"/>
    <n v="8"/>
    <n v="2259"/>
    <n v="18072"/>
    <s v="Delivered"/>
  </r>
  <r>
    <s v="ORD0357"/>
    <x v="1"/>
    <s v="Arjun Das"/>
    <x v="4"/>
    <x v="0"/>
    <n v="7"/>
    <n v="5308"/>
    <n v="37156"/>
    <s v="Shipped"/>
  </r>
  <r>
    <s v="ORD0358"/>
    <x v="5"/>
    <s v="Sneha Rao"/>
    <x v="3"/>
    <x v="3"/>
    <n v="5"/>
    <n v="11307"/>
    <n v="56535"/>
    <s v="Delivered"/>
  </r>
  <r>
    <s v="ORD0359"/>
    <x v="9"/>
    <s v="Arjun Das"/>
    <x v="0"/>
    <x v="4"/>
    <n v="2"/>
    <n v="624"/>
    <n v="1248"/>
    <s v="Delivered"/>
  </r>
  <r>
    <s v="ORD0360"/>
    <x v="5"/>
    <s v="Neha Reddy"/>
    <x v="0"/>
    <x v="4"/>
    <n v="2"/>
    <n v="792"/>
    <n v="1584"/>
    <s v="Delivered"/>
  </r>
  <r>
    <s v="ORD0361"/>
    <x v="10"/>
    <s v="Neha Reddy"/>
    <x v="1"/>
    <x v="2"/>
    <n v="7"/>
    <n v="946"/>
    <n v="6622"/>
    <s v="Delivered"/>
  </r>
  <r>
    <s v="ORD0362"/>
    <x v="6"/>
    <s v="Priya Nair"/>
    <x v="1"/>
    <x v="2"/>
    <n v="6"/>
    <n v="3255"/>
    <n v="19530"/>
    <s v="Delivered"/>
  </r>
  <r>
    <s v="ORD0363"/>
    <x v="10"/>
    <s v="Arjun Das"/>
    <x v="3"/>
    <x v="2"/>
    <n v="4"/>
    <n v="4785"/>
    <n v="19140"/>
    <s v="Delivered"/>
  </r>
  <r>
    <s v="ORD0364"/>
    <x v="8"/>
    <s v="Amit Kumar"/>
    <x v="2"/>
    <x v="4"/>
    <n v="5"/>
    <n v="1349"/>
    <n v="6745"/>
    <s v="Delivered"/>
  </r>
  <r>
    <s v="ORD0365"/>
    <x v="7"/>
    <s v="Amit Kumar"/>
    <x v="4"/>
    <x v="4"/>
    <n v="7"/>
    <n v="1477"/>
    <n v="10339"/>
    <s v="Delivered"/>
  </r>
  <r>
    <s v="ORD0366"/>
    <x v="7"/>
    <s v="Meera Iyer"/>
    <x v="0"/>
    <x v="0"/>
    <n v="8"/>
    <n v="21957"/>
    <n v="175656"/>
    <s v="Delivered"/>
  </r>
  <r>
    <s v="ORD0367"/>
    <x v="13"/>
    <s v="Priya Nair"/>
    <x v="2"/>
    <x v="4"/>
    <n v="1"/>
    <n v="1870"/>
    <n v="1870"/>
    <s v="Delivered"/>
  </r>
  <r>
    <s v="ORD0368"/>
    <x v="8"/>
    <s v="Meera Iyer"/>
    <x v="4"/>
    <x v="4"/>
    <n v="7"/>
    <n v="2916"/>
    <n v="20412"/>
    <s v="Cancelled"/>
  </r>
  <r>
    <s v="ORD0369"/>
    <x v="9"/>
    <s v="Kiran Patel"/>
    <x v="0"/>
    <x v="2"/>
    <n v="4"/>
    <n v="4024"/>
    <n v="16096"/>
    <s v="Delivered"/>
  </r>
  <r>
    <s v="ORD0370"/>
    <x v="8"/>
    <s v="Meera Iyer"/>
    <x v="0"/>
    <x v="1"/>
    <n v="4"/>
    <n v="2869"/>
    <n v="11476"/>
    <s v="Delivered"/>
  </r>
  <r>
    <s v="ORD0371"/>
    <x v="8"/>
    <s v="Meera Iyer"/>
    <x v="3"/>
    <x v="2"/>
    <n v="4"/>
    <n v="4951"/>
    <n v="19804"/>
    <s v="Cancelled"/>
  </r>
  <r>
    <s v="ORD0372"/>
    <x v="15"/>
    <s v="Rahul Sharma"/>
    <x v="4"/>
    <x v="0"/>
    <n v="8"/>
    <n v="28638"/>
    <n v="229104"/>
    <s v="Delivered"/>
  </r>
  <r>
    <s v="ORD0373"/>
    <x v="7"/>
    <s v="Arjun Das"/>
    <x v="4"/>
    <x v="0"/>
    <n v="5"/>
    <n v="10430"/>
    <n v="52150"/>
    <s v="Delivered"/>
  </r>
  <r>
    <s v="ORD0374"/>
    <x v="9"/>
    <s v="Arjun Das"/>
    <x v="4"/>
    <x v="3"/>
    <n v="8"/>
    <n v="40386"/>
    <n v="323088"/>
    <s v="Delivered"/>
  </r>
  <r>
    <s v="ORD0375"/>
    <x v="8"/>
    <s v="Arjun Das"/>
    <x v="1"/>
    <x v="3"/>
    <n v="6"/>
    <n v="36386"/>
    <n v="218316"/>
    <s v="Delivered"/>
  </r>
  <r>
    <s v="ORD0376"/>
    <x v="7"/>
    <s v="Priya Nair"/>
    <x v="2"/>
    <x v="4"/>
    <n v="3"/>
    <n v="2900"/>
    <n v="8700"/>
    <s v="Delivered"/>
  </r>
  <r>
    <s v="ORD0377"/>
    <x v="8"/>
    <s v="Meera Iyer"/>
    <x v="4"/>
    <x v="3"/>
    <n v="1"/>
    <n v="7662"/>
    <n v="7662"/>
    <s v="Delivered"/>
  </r>
  <r>
    <s v="ORD0378"/>
    <x v="17"/>
    <s v="Sneha Rao"/>
    <x v="4"/>
    <x v="4"/>
    <n v="7"/>
    <n v="2146"/>
    <n v="15022"/>
    <s v="Shipped"/>
  </r>
  <r>
    <s v="ORD0379"/>
    <x v="17"/>
    <s v="Amit Kumar"/>
    <x v="0"/>
    <x v="3"/>
    <n v="8"/>
    <n v="8051"/>
    <n v="64408"/>
    <s v="Delivered"/>
  </r>
  <r>
    <s v="ORD0380"/>
    <x v="7"/>
    <s v="Priya Nair"/>
    <x v="2"/>
    <x v="4"/>
    <n v="5"/>
    <n v="1655"/>
    <n v="8275"/>
    <s v="Delivered"/>
  </r>
  <r>
    <s v="ORD0381"/>
    <x v="11"/>
    <s v="Neha Reddy"/>
    <x v="0"/>
    <x v="1"/>
    <n v="2"/>
    <n v="3789"/>
    <n v="7578"/>
    <s v="Pending"/>
  </r>
  <r>
    <s v="ORD0382"/>
    <x v="13"/>
    <s v="Meera Iyer"/>
    <x v="3"/>
    <x v="4"/>
    <n v="1"/>
    <n v="3161"/>
    <n v="3161"/>
    <s v="Delivered"/>
  </r>
  <r>
    <s v="ORD0383"/>
    <x v="4"/>
    <s v="Priya Nair"/>
    <x v="2"/>
    <x v="0"/>
    <n v="3"/>
    <n v="20584"/>
    <n v="61752"/>
    <s v="Delivered"/>
  </r>
  <r>
    <s v="ORD0384"/>
    <x v="1"/>
    <s v="Arjun Das"/>
    <x v="4"/>
    <x v="0"/>
    <n v="7"/>
    <n v="23135"/>
    <n v="161945"/>
    <s v="Delivered"/>
  </r>
  <r>
    <s v="ORD0385"/>
    <x v="10"/>
    <s v="Arjun Das"/>
    <x v="3"/>
    <x v="2"/>
    <n v="4"/>
    <n v="3782"/>
    <n v="15128"/>
    <s v="Delivered"/>
  </r>
  <r>
    <s v="ORD0386"/>
    <x v="8"/>
    <s v="Rahul Sharma"/>
    <x v="2"/>
    <x v="0"/>
    <n v="5"/>
    <n v="27152"/>
    <n v="135760"/>
    <s v="Pending"/>
  </r>
  <r>
    <s v="ORD0387"/>
    <x v="7"/>
    <s v="Priya Nair"/>
    <x v="1"/>
    <x v="0"/>
    <n v="6"/>
    <n v="13181"/>
    <n v="79086"/>
    <s v="Delivered"/>
  </r>
  <r>
    <s v="ORD0388"/>
    <x v="0"/>
    <s v="Kiran Patel"/>
    <x v="4"/>
    <x v="2"/>
    <n v="6"/>
    <n v="4990"/>
    <n v="29940"/>
    <s v="Delivered"/>
  </r>
  <r>
    <s v="ORD0389"/>
    <x v="8"/>
    <s v="Priya Nair"/>
    <x v="0"/>
    <x v="4"/>
    <n v="8"/>
    <n v="2778"/>
    <n v="22224"/>
    <s v="Delivered"/>
  </r>
  <r>
    <s v="ORD0390"/>
    <x v="5"/>
    <s v="Priya Nair"/>
    <x v="2"/>
    <x v="4"/>
    <n v="2"/>
    <n v="1227"/>
    <n v="2454"/>
    <s v="Delivered"/>
  </r>
  <r>
    <s v="ORD0391"/>
    <x v="15"/>
    <s v="Meera Iyer"/>
    <x v="2"/>
    <x v="2"/>
    <n v="7"/>
    <n v="3526"/>
    <n v="24682"/>
    <s v="Delivered"/>
  </r>
  <r>
    <s v="ORD0392"/>
    <x v="8"/>
    <s v="Arjun Das"/>
    <x v="2"/>
    <x v="1"/>
    <n v="3"/>
    <n v="4745"/>
    <n v="14235"/>
    <s v="Delivered"/>
  </r>
  <r>
    <s v="ORD0393"/>
    <x v="5"/>
    <s v="Amit Kumar"/>
    <x v="2"/>
    <x v="4"/>
    <n v="8"/>
    <n v="2787"/>
    <n v="22296"/>
    <s v="Delivered"/>
  </r>
  <r>
    <s v="ORD0394"/>
    <x v="6"/>
    <s v="Rahul Sharma"/>
    <x v="4"/>
    <x v="0"/>
    <n v="4"/>
    <n v="29212"/>
    <n v="116848"/>
    <s v="Delivered"/>
  </r>
  <r>
    <s v="ORD0395"/>
    <x v="1"/>
    <s v="Neha Reddy"/>
    <x v="4"/>
    <x v="1"/>
    <n v="7"/>
    <n v="6017"/>
    <n v="42119"/>
    <s v="Shipped"/>
  </r>
  <r>
    <s v="ORD0396"/>
    <x v="14"/>
    <s v="Amit Kumar"/>
    <x v="3"/>
    <x v="2"/>
    <n v="1"/>
    <n v="1906"/>
    <n v="1906"/>
    <s v="Delivered"/>
  </r>
  <r>
    <s v="ORD0397"/>
    <x v="3"/>
    <s v="Sneha Rao"/>
    <x v="1"/>
    <x v="4"/>
    <n v="3"/>
    <n v="3447"/>
    <n v="10341"/>
    <s v="Delivered"/>
  </r>
  <r>
    <s v="ORD0398"/>
    <x v="14"/>
    <s v="Priya Nair"/>
    <x v="1"/>
    <x v="3"/>
    <n v="5"/>
    <n v="36793"/>
    <n v="183965"/>
    <s v="Shipped"/>
  </r>
  <r>
    <s v="ORD0399"/>
    <x v="6"/>
    <s v="Rahul Sharma"/>
    <x v="4"/>
    <x v="2"/>
    <n v="4"/>
    <n v="3582"/>
    <n v="14328"/>
    <s v="Delivered"/>
  </r>
  <r>
    <s v="ORD0400"/>
    <x v="2"/>
    <s v="Kiran Patel"/>
    <x v="3"/>
    <x v="1"/>
    <n v="5"/>
    <n v="3055"/>
    <n v="15275"/>
    <s v="Shipped"/>
  </r>
  <r>
    <s v="ORD0401"/>
    <x v="7"/>
    <s v="Neha Reddy"/>
    <x v="3"/>
    <x v="0"/>
    <n v="4"/>
    <n v="29065"/>
    <n v="116260"/>
    <s v="Pending"/>
  </r>
  <r>
    <s v="ORD0402"/>
    <x v="6"/>
    <s v="Arjun Das"/>
    <x v="2"/>
    <x v="2"/>
    <n v="3"/>
    <n v="1792"/>
    <n v="5376"/>
    <s v="Shipped"/>
  </r>
  <r>
    <s v="ORD0403"/>
    <x v="16"/>
    <s v="Meera Iyer"/>
    <x v="1"/>
    <x v="4"/>
    <n v="3"/>
    <n v="1575"/>
    <n v="4725"/>
    <s v="Cancelled"/>
  </r>
  <r>
    <s v="ORD0404"/>
    <x v="5"/>
    <s v="Kiran Patel"/>
    <x v="1"/>
    <x v="4"/>
    <n v="2"/>
    <n v="805"/>
    <n v="1610"/>
    <s v="Cancelled"/>
  </r>
  <r>
    <s v="ORD0405"/>
    <x v="10"/>
    <s v="Rahul Sharma"/>
    <x v="0"/>
    <x v="0"/>
    <n v="3"/>
    <n v="10681"/>
    <n v="32043"/>
    <s v="Delivered"/>
  </r>
  <r>
    <s v="ORD0406"/>
    <x v="4"/>
    <s v="Sneha Rao"/>
    <x v="4"/>
    <x v="1"/>
    <n v="3"/>
    <n v="4930"/>
    <n v="14790"/>
    <s v="Pending"/>
  </r>
  <r>
    <s v="ORD0407"/>
    <x v="10"/>
    <s v="Arjun Das"/>
    <x v="4"/>
    <x v="3"/>
    <n v="2"/>
    <n v="27601"/>
    <n v="55202"/>
    <s v="Delivered"/>
  </r>
  <r>
    <s v="ORD0408"/>
    <x v="3"/>
    <s v="Meera Iyer"/>
    <x v="4"/>
    <x v="1"/>
    <n v="6"/>
    <n v="4967"/>
    <n v="29802"/>
    <s v="Delivered"/>
  </r>
  <r>
    <s v="ORD0409"/>
    <x v="7"/>
    <s v="Neha Reddy"/>
    <x v="0"/>
    <x v="3"/>
    <n v="7"/>
    <n v="15475"/>
    <n v="108325"/>
    <s v="Cancelled"/>
  </r>
  <r>
    <s v="ORD0410"/>
    <x v="11"/>
    <s v="Neha Reddy"/>
    <x v="0"/>
    <x v="4"/>
    <n v="5"/>
    <n v="1633"/>
    <n v="8165"/>
    <s v="Delivered"/>
  </r>
  <r>
    <s v="ORD0411"/>
    <x v="9"/>
    <s v="Neha Reddy"/>
    <x v="0"/>
    <x v="3"/>
    <n v="1"/>
    <n v="7725"/>
    <n v="7725"/>
    <s v="Pending"/>
  </r>
  <r>
    <s v="ORD0412"/>
    <x v="13"/>
    <s v="Rahul Sharma"/>
    <x v="3"/>
    <x v="0"/>
    <n v="8"/>
    <n v="17459"/>
    <n v="139672"/>
    <s v="Delivered"/>
  </r>
  <r>
    <s v="ORD0413"/>
    <x v="10"/>
    <s v="Sneha Rao"/>
    <x v="2"/>
    <x v="4"/>
    <n v="3"/>
    <n v="1372"/>
    <n v="4116"/>
    <s v="Delivered"/>
  </r>
  <r>
    <s v="ORD0414"/>
    <x v="6"/>
    <s v="Kiran Patel"/>
    <x v="3"/>
    <x v="4"/>
    <n v="3"/>
    <n v="462"/>
    <n v="1386"/>
    <s v="Delivered"/>
  </r>
  <r>
    <s v="ORD0415"/>
    <x v="5"/>
    <s v="Sneha Rao"/>
    <x v="4"/>
    <x v="3"/>
    <n v="2"/>
    <n v="1271"/>
    <n v="2542"/>
    <s v="Delivered"/>
  </r>
  <r>
    <s v="ORD0416"/>
    <x v="7"/>
    <s v="Amit Kumar"/>
    <x v="1"/>
    <x v="0"/>
    <n v="8"/>
    <n v="2804"/>
    <n v="22432"/>
    <s v="Delivered"/>
  </r>
  <r>
    <s v="ORD0417"/>
    <x v="4"/>
    <s v="Priya Nair"/>
    <x v="4"/>
    <x v="0"/>
    <n v="8"/>
    <n v="4820"/>
    <n v="38560"/>
    <s v="Delivered"/>
  </r>
  <r>
    <s v="ORD0418"/>
    <x v="7"/>
    <s v="Priya Nair"/>
    <x v="3"/>
    <x v="4"/>
    <n v="6"/>
    <n v="1475"/>
    <n v="8850"/>
    <s v="Delivered"/>
  </r>
  <r>
    <s v="ORD0419"/>
    <x v="9"/>
    <s v="Amit Kumar"/>
    <x v="3"/>
    <x v="2"/>
    <n v="1"/>
    <n v="5099"/>
    <n v="5099"/>
    <s v="Pending"/>
  </r>
  <r>
    <s v="ORD0420"/>
    <x v="13"/>
    <s v="Meera Iyer"/>
    <x v="2"/>
    <x v="0"/>
    <n v="7"/>
    <n v="22687"/>
    <n v="158809"/>
    <s v="Pending"/>
  </r>
  <r>
    <s v="ORD0421"/>
    <x v="11"/>
    <s v="Priya Nair"/>
    <x v="3"/>
    <x v="0"/>
    <n v="2"/>
    <n v="21819"/>
    <n v="43638"/>
    <s v="Pending"/>
  </r>
  <r>
    <s v="ORD0422"/>
    <x v="6"/>
    <s v="Arjun Das"/>
    <x v="0"/>
    <x v="0"/>
    <n v="4"/>
    <n v="11575"/>
    <n v="46300"/>
    <s v="Pending"/>
  </r>
  <r>
    <s v="ORD0423"/>
    <x v="2"/>
    <s v="Kiran Patel"/>
    <x v="3"/>
    <x v="4"/>
    <n v="4"/>
    <n v="2370"/>
    <n v="9480"/>
    <s v="Delivered"/>
  </r>
  <r>
    <s v="ORD0424"/>
    <x v="11"/>
    <s v="Arjun Das"/>
    <x v="0"/>
    <x v="3"/>
    <n v="4"/>
    <n v="33632"/>
    <n v="134528"/>
    <s v="Delivered"/>
  </r>
  <r>
    <s v="ORD0425"/>
    <x v="2"/>
    <s v="Neha Reddy"/>
    <x v="1"/>
    <x v="3"/>
    <n v="1"/>
    <n v="24864"/>
    <n v="24864"/>
    <s v="Shipped"/>
  </r>
  <r>
    <s v="ORD0426"/>
    <x v="9"/>
    <s v="Arjun Das"/>
    <x v="1"/>
    <x v="1"/>
    <n v="6"/>
    <n v="4675"/>
    <n v="28050"/>
    <s v="Pending"/>
  </r>
  <r>
    <s v="ORD0427"/>
    <x v="14"/>
    <s v="Priya Nair"/>
    <x v="3"/>
    <x v="2"/>
    <n v="2"/>
    <n v="212"/>
    <n v="424"/>
    <s v="Delivered"/>
  </r>
  <r>
    <s v="ORD0428"/>
    <x v="16"/>
    <s v="Rahul Sharma"/>
    <x v="4"/>
    <x v="2"/>
    <n v="5"/>
    <n v="5249"/>
    <n v="26245"/>
    <s v="Pending"/>
  </r>
  <r>
    <s v="ORD0429"/>
    <x v="10"/>
    <s v="Arjun Das"/>
    <x v="4"/>
    <x v="3"/>
    <n v="3"/>
    <n v="19384"/>
    <n v="58152"/>
    <s v="Delivered"/>
  </r>
  <r>
    <s v="ORD0430"/>
    <x v="7"/>
    <s v="Sneha Rao"/>
    <x v="2"/>
    <x v="2"/>
    <n v="6"/>
    <n v="3300"/>
    <n v="19800"/>
    <s v="Delivered"/>
  </r>
  <r>
    <s v="ORD0431"/>
    <x v="7"/>
    <s v="Kiran Patel"/>
    <x v="4"/>
    <x v="0"/>
    <n v="1"/>
    <n v="10511"/>
    <n v="10511"/>
    <s v="Delivered"/>
  </r>
  <r>
    <s v="ORD0432"/>
    <x v="10"/>
    <s v="Priya Nair"/>
    <x v="4"/>
    <x v="2"/>
    <n v="1"/>
    <n v="2633"/>
    <n v="2633"/>
    <s v="Pending"/>
  </r>
  <r>
    <s v="ORD0433"/>
    <x v="15"/>
    <s v="Priya Nair"/>
    <x v="3"/>
    <x v="0"/>
    <n v="1"/>
    <n v="7868"/>
    <n v="7868"/>
    <s v="Delivered"/>
  </r>
  <r>
    <s v="ORD0434"/>
    <x v="6"/>
    <s v="Kiran Patel"/>
    <x v="2"/>
    <x v="4"/>
    <n v="3"/>
    <n v="3321"/>
    <n v="9963"/>
    <s v="Shipped"/>
  </r>
  <r>
    <s v="ORD0435"/>
    <x v="3"/>
    <s v="Priya Nair"/>
    <x v="3"/>
    <x v="4"/>
    <n v="7"/>
    <n v="1364"/>
    <n v="9548"/>
    <s v="Delivered"/>
  </r>
  <r>
    <s v="ORD0436"/>
    <x v="3"/>
    <s v="Priya Nair"/>
    <x v="4"/>
    <x v="1"/>
    <n v="6"/>
    <n v="654"/>
    <n v="3924"/>
    <s v="Delivered"/>
  </r>
  <r>
    <s v="ORD0437"/>
    <x v="15"/>
    <s v="Meera Iyer"/>
    <x v="2"/>
    <x v="4"/>
    <n v="2"/>
    <n v="2600"/>
    <n v="5200"/>
    <s v="Pending"/>
  </r>
  <r>
    <s v="ORD0438"/>
    <x v="0"/>
    <s v="Sneha Rao"/>
    <x v="1"/>
    <x v="3"/>
    <n v="1"/>
    <n v="2005"/>
    <n v="2005"/>
    <s v="Delivered"/>
  </r>
  <r>
    <s v="ORD0439"/>
    <x v="14"/>
    <s v="Meera Iyer"/>
    <x v="4"/>
    <x v="0"/>
    <n v="3"/>
    <n v="3658"/>
    <n v="10974"/>
    <s v="Delivered"/>
  </r>
  <r>
    <s v="ORD0440"/>
    <x v="10"/>
    <s v="Sneha Rao"/>
    <x v="0"/>
    <x v="0"/>
    <n v="7"/>
    <n v="26102"/>
    <n v="182714"/>
    <s v="Delivered"/>
  </r>
  <r>
    <s v="ORD0441"/>
    <x v="7"/>
    <s v="Meera Iyer"/>
    <x v="3"/>
    <x v="2"/>
    <n v="1"/>
    <n v="1569"/>
    <n v="1569"/>
    <s v="Delivered"/>
  </r>
  <r>
    <s v="ORD0442"/>
    <x v="17"/>
    <s v="Rahul Sharma"/>
    <x v="4"/>
    <x v="3"/>
    <n v="8"/>
    <n v="19701"/>
    <n v="157608"/>
    <s v="Shipped"/>
  </r>
  <r>
    <s v="ORD0443"/>
    <x v="5"/>
    <s v="Meera Iyer"/>
    <x v="3"/>
    <x v="2"/>
    <n v="8"/>
    <n v="165"/>
    <n v="1320"/>
    <s v="Delivered"/>
  </r>
  <r>
    <s v="ORD0444"/>
    <x v="5"/>
    <s v="Kiran Patel"/>
    <x v="1"/>
    <x v="0"/>
    <n v="8"/>
    <n v="14567"/>
    <n v="116536"/>
    <s v="Delivered"/>
  </r>
  <r>
    <s v="ORD0445"/>
    <x v="14"/>
    <s v="Sneha Rao"/>
    <x v="1"/>
    <x v="0"/>
    <n v="3"/>
    <n v="2708"/>
    <n v="8124"/>
    <s v="Shipped"/>
  </r>
  <r>
    <s v="ORD0446"/>
    <x v="12"/>
    <s v="Sneha Rao"/>
    <x v="1"/>
    <x v="4"/>
    <n v="1"/>
    <n v="1622"/>
    <n v="1622"/>
    <s v="Delivered"/>
  </r>
  <r>
    <s v="ORD0447"/>
    <x v="8"/>
    <s v="Kiran Patel"/>
    <x v="3"/>
    <x v="0"/>
    <n v="4"/>
    <n v="16256"/>
    <n v="65024"/>
    <s v="Delivered"/>
  </r>
  <r>
    <s v="ORD0448"/>
    <x v="16"/>
    <s v="Amit Kumar"/>
    <x v="0"/>
    <x v="3"/>
    <n v="1"/>
    <n v="16369"/>
    <n v="16369"/>
    <s v="Shipped"/>
  </r>
  <r>
    <s v="ORD0449"/>
    <x v="17"/>
    <s v="Arjun Das"/>
    <x v="0"/>
    <x v="1"/>
    <n v="2"/>
    <n v="4957"/>
    <n v="9914"/>
    <s v="Delivered"/>
  </r>
  <r>
    <s v="ORD0450"/>
    <x v="9"/>
    <s v="Arjun Das"/>
    <x v="3"/>
    <x v="2"/>
    <n v="1"/>
    <n v="3663"/>
    <n v="3663"/>
    <s v="Pending"/>
  </r>
  <r>
    <s v="ORD0451"/>
    <x v="9"/>
    <s v="Sneha Rao"/>
    <x v="0"/>
    <x v="4"/>
    <n v="6"/>
    <n v="1859"/>
    <n v="11154"/>
    <s v="Pending"/>
  </r>
  <r>
    <s v="ORD0452"/>
    <x v="4"/>
    <s v="Meera Iyer"/>
    <x v="4"/>
    <x v="4"/>
    <n v="4"/>
    <n v="555"/>
    <n v="2220"/>
    <s v="Shipped"/>
  </r>
  <r>
    <s v="ORD0453"/>
    <x v="9"/>
    <s v="Priya Nair"/>
    <x v="2"/>
    <x v="3"/>
    <n v="3"/>
    <n v="30662"/>
    <n v="91986"/>
    <s v="Delivered"/>
  </r>
  <r>
    <s v="ORD0454"/>
    <x v="10"/>
    <s v="Priya Nair"/>
    <x v="1"/>
    <x v="4"/>
    <n v="4"/>
    <n v="2101"/>
    <n v="8404"/>
    <s v="Delivered"/>
  </r>
  <r>
    <s v="ORD0455"/>
    <x v="3"/>
    <s v="Priya Nair"/>
    <x v="3"/>
    <x v="0"/>
    <n v="5"/>
    <n v="29579"/>
    <n v="147895"/>
    <s v="Pending"/>
  </r>
  <r>
    <s v="ORD0456"/>
    <x v="16"/>
    <s v="Sneha Rao"/>
    <x v="0"/>
    <x v="0"/>
    <n v="2"/>
    <n v="25803"/>
    <n v="51606"/>
    <s v="Delivered"/>
  </r>
  <r>
    <s v="ORD0457"/>
    <x v="6"/>
    <s v="Arjun Das"/>
    <x v="1"/>
    <x v="3"/>
    <n v="5"/>
    <n v="18250"/>
    <n v="91250"/>
    <s v="Shipped"/>
  </r>
  <r>
    <s v="ORD0458"/>
    <x v="15"/>
    <s v="Rahul Sharma"/>
    <x v="4"/>
    <x v="1"/>
    <n v="4"/>
    <n v="975"/>
    <n v="3900"/>
    <s v="Delivered"/>
  </r>
  <r>
    <s v="ORD0459"/>
    <x v="9"/>
    <s v="Priya Nair"/>
    <x v="3"/>
    <x v="3"/>
    <n v="4"/>
    <n v="9766"/>
    <n v="39064"/>
    <s v="Delivered"/>
  </r>
  <r>
    <s v="ORD0460"/>
    <x v="8"/>
    <s v="Meera Iyer"/>
    <x v="3"/>
    <x v="2"/>
    <n v="5"/>
    <n v="714"/>
    <n v="3570"/>
    <s v="Delivered"/>
  </r>
  <r>
    <s v="ORD0461"/>
    <x v="7"/>
    <s v="Sneha Rao"/>
    <x v="4"/>
    <x v="0"/>
    <n v="2"/>
    <n v="29676"/>
    <n v="59352"/>
    <s v="Shipped"/>
  </r>
  <r>
    <s v="ORD0462"/>
    <x v="0"/>
    <s v="Rahul Sharma"/>
    <x v="4"/>
    <x v="3"/>
    <n v="3"/>
    <n v="38810"/>
    <n v="116430"/>
    <s v="Delivered"/>
  </r>
  <r>
    <s v="ORD0463"/>
    <x v="8"/>
    <s v="Neha Reddy"/>
    <x v="3"/>
    <x v="1"/>
    <n v="7"/>
    <n v="1615"/>
    <n v="11305"/>
    <s v="Delivered"/>
  </r>
  <r>
    <s v="ORD0464"/>
    <x v="15"/>
    <s v="Kiran Patel"/>
    <x v="0"/>
    <x v="1"/>
    <n v="3"/>
    <n v="483"/>
    <n v="1449"/>
    <s v="Delivered"/>
  </r>
  <r>
    <s v="ORD0465"/>
    <x v="2"/>
    <s v="Kiran Patel"/>
    <x v="4"/>
    <x v="1"/>
    <n v="8"/>
    <n v="699"/>
    <n v="5592"/>
    <s v="Delivered"/>
  </r>
  <r>
    <s v="ORD0466"/>
    <x v="8"/>
    <s v="Amit Kumar"/>
    <x v="4"/>
    <x v="0"/>
    <n v="4"/>
    <n v="23168"/>
    <n v="92672"/>
    <s v="Cancelled"/>
  </r>
  <r>
    <s v="ORD0467"/>
    <x v="1"/>
    <s v="Rahul Sharma"/>
    <x v="4"/>
    <x v="4"/>
    <n v="8"/>
    <n v="2480"/>
    <n v="19840"/>
    <s v="Shipped"/>
  </r>
  <r>
    <s v="ORD0468"/>
    <x v="6"/>
    <s v="Meera Iyer"/>
    <x v="4"/>
    <x v="4"/>
    <n v="3"/>
    <n v="356"/>
    <n v="1068"/>
    <s v="Delivered"/>
  </r>
  <r>
    <s v="ORD0469"/>
    <x v="2"/>
    <s v="Rahul Sharma"/>
    <x v="0"/>
    <x v="3"/>
    <n v="8"/>
    <n v="35896"/>
    <n v="287168"/>
    <s v="Delivered"/>
  </r>
  <r>
    <s v="ORD0470"/>
    <x v="2"/>
    <s v="Amit Kumar"/>
    <x v="3"/>
    <x v="0"/>
    <n v="4"/>
    <n v="11233"/>
    <n v="44932"/>
    <s v="Delivered"/>
  </r>
  <r>
    <s v="ORD0471"/>
    <x v="16"/>
    <s v="Sneha Rao"/>
    <x v="1"/>
    <x v="1"/>
    <n v="6"/>
    <n v="7861"/>
    <n v="47166"/>
    <s v="Shipped"/>
  </r>
  <r>
    <s v="ORD0472"/>
    <x v="15"/>
    <s v="Amit Kumar"/>
    <x v="2"/>
    <x v="2"/>
    <n v="6"/>
    <n v="3039"/>
    <n v="18234"/>
    <s v="Shipped"/>
  </r>
  <r>
    <s v="ORD0473"/>
    <x v="12"/>
    <s v="Meera Iyer"/>
    <x v="1"/>
    <x v="2"/>
    <n v="3"/>
    <n v="4712"/>
    <n v="14136"/>
    <s v="Shipped"/>
  </r>
  <r>
    <s v="ORD0474"/>
    <x v="14"/>
    <s v="Kiran Patel"/>
    <x v="2"/>
    <x v="1"/>
    <n v="1"/>
    <n v="939"/>
    <n v="939"/>
    <s v="Delivered"/>
  </r>
  <r>
    <s v="ORD0475"/>
    <x v="2"/>
    <s v="Rahul Sharma"/>
    <x v="1"/>
    <x v="1"/>
    <n v="1"/>
    <n v="2917"/>
    <n v="2917"/>
    <s v="Shipped"/>
  </r>
  <r>
    <s v="ORD0476"/>
    <x v="11"/>
    <s v="Amit Kumar"/>
    <x v="0"/>
    <x v="0"/>
    <n v="6"/>
    <n v="4451"/>
    <n v="26706"/>
    <s v="Delivered"/>
  </r>
  <r>
    <s v="ORD0477"/>
    <x v="9"/>
    <s v="Priya Nair"/>
    <x v="1"/>
    <x v="4"/>
    <n v="2"/>
    <n v="1780"/>
    <n v="3560"/>
    <s v="Pending"/>
  </r>
  <r>
    <s v="ORD0478"/>
    <x v="8"/>
    <s v="Priya Nair"/>
    <x v="0"/>
    <x v="4"/>
    <n v="6"/>
    <n v="808"/>
    <n v="4848"/>
    <s v="Cancelled"/>
  </r>
  <r>
    <s v="ORD0479"/>
    <x v="10"/>
    <s v="Neha Reddy"/>
    <x v="0"/>
    <x v="0"/>
    <n v="6"/>
    <n v="9815"/>
    <n v="58890"/>
    <s v="Pending"/>
  </r>
  <r>
    <s v="ORD0480"/>
    <x v="15"/>
    <s v="Arjun Das"/>
    <x v="0"/>
    <x v="4"/>
    <n v="3"/>
    <n v="977"/>
    <n v="2931"/>
    <s v="Pending"/>
  </r>
  <r>
    <s v="ORD0481"/>
    <x v="8"/>
    <s v="Rahul Sharma"/>
    <x v="2"/>
    <x v="2"/>
    <n v="6"/>
    <n v="5108"/>
    <n v="30648"/>
    <s v="Delivered"/>
  </r>
  <r>
    <s v="ORD0482"/>
    <x v="0"/>
    <s v="Neha Reddy"/>
    <x v="2"/>
    <x v="4"/>
    <n v="2"/>
    <n v="1224"/>
    <n v="2448"/>
    <s v="Delivered"/>
  </r>
  <r>
    <s v="ORD0483"/>
    <x v="4"/>
    <s v="Amit Kumar"/>
    <x v="3"/>
    <x v="4"/>
    <n v="8"/>
    <n v="296"/>
    <n v="2368"/>
    <s v="Delivered"/>
  </r>
  <r>
    <s v="ORD0484"/>
    <x v="2"/>
    <s v="Priya Nair"/>
    <x v="0"/>
    <x v="4"/>
    <n v="2"/>
    <n v="3200"/>
    <n v="6400"/>
    <s v="Delivered"/>
  </r>
  <r>
    <s v="ORD0485"/>
    <x v="8"/>
    <s v="Neha Reddy"/>
    <x v="4"/>
    <x v="0"/>
    <n v="7"/>
    <n v="18657"/>
    <n v="130599"/>
    <s v="Shipped"/>
  </r>
  <r>
    <s v="ORD0486"/>
    <x v="6"/>
    <s v="Arjun Das"/>
    <x v="3"/>
    <x v="1"/>
    <n v="4"/>
    <n v="1532"/>
    <n v="6128"/>
    <s v="Delivered"/>
  </r>
  <r>
    <s v="ORD0487"/>
    <x v="16"/>
    <s v="Kiran Patel"/>
    <x v="3"/>
    <x v="4"/>
    <n v="5"/>
    <n v="678"/>
    <n v="3390"/>
    <s v="Delivered"/>
  </r>
  <r>
    <s v="ORD0488"/>
    <x v="15"/>
    <s v="Arjun Das"/>
    <x v="2"/>
    <x v="3"/>
    <n v="2"/>
    <n v="23347"/>
    <n v="46694"/>
    <s v="Delivered"/>
  </r>
  <r>
    <s v="ORD0489"/>
    <x v="14"/>
    <s v="Rahul Sharma"/>
    <x v="4"/>
    <x v="0"/>
    <n v="7"/>
    <n v="7647"/>
    <n v="53529"/>
    <s v="Delivered"/>
  </r>
  <r>
    <s v="ORD0490"/>
    <x v="4"/>
    <s v="Sneha Rao"/>
    <x v="2"/>
    <x v="1"/>
    <n v="5"/>
    <n v="5611"/>
    <n v="28055"/>
    <s v="Delivered"/>
  </r>
  <r>
    <s v="ORD0491"/>
    <x v="2"/>
    <s v="Priya Nair"/>
    <x v="3"/>
    <x v="1"/>
    <n v="8"/>
    <n v="1458"/>
    <n v="11664"/>
    <s v="Delivered"/>
  </r>
  <r>
    <s v="ORD0492"/>
    <x v="12"/>
    <s v="Arjun Das"/>
    <x v="3"/>
    <x v="4"/>
    <n v="8"/>
    <n v="1067"/>
    <n v="8536"/>
    <s v="Delivered"/>
  </r>
  <r>
    <s v="ORD0493"/>
    <x v="11"/>
    <s v="Amit Kumar"/>
    <x v="0"/>
    <x v="3"/>
    <n v="8"/>
    <n v="8769"/>
    <n v="70152"/>
    <s v="Delivered"/>
  </r>
  <r>
    <s v="ORD0494"/>
    <x v="8"/>
    <s v="Neha Reddy"/>
    <x v="4"/>
    <x v="4"/>
    <n v="2"/>
    <n v="2879"/>
    <n v="5758"/>
    <s v="Delivered"/>
  </r>
  <r>
    <s v="ORD0495"/>
    <x v="15"/>
    <s v="Meera Iyer"/>
    <x v="4"/>
    <x v="4"/>
    <n v="3"/>
    <n v="2075"/>
    <n v="6225"/>
    <s v="Delivered"/>
  </r>
  <r>
    <s v="ORD0496"/>
    <x v="13"/>
    <s v="Neha Reddy"/>
    <x v="0"/>
    <x v="0"/>
    <n v="5"/>
    <n v="20989"/>
    <n v="104945"/>
    <s v="Delivered"/>
  </r>
  <r>
    <s v="ORD0497"/>
    <x v="0"/>
    <s v="Priya Nair"/>
    <x v="0"/>
    <x v="2"/>
    <n v="7"/>
    <n v="4931"/>
    <n v="34517"/>
    <s v="Delivered"/>
  </r>
  <r>
    <s v="ORD0498"/>
    <x v="16"/>
    <s v="Arjun Das"/>
    <x v="1"/>
    <x v="1"/>
    <n v="8"/>
    <n v="4891"/>
    <n v="39128"/>
    <s v="Shipped"/>
  </r>
  <r>
    <s v="ORD0499"/>
    <x v="14"/>
    <s v="Kiran Patel"/>
    <x v="3"/>
    <x v="1"/>
    <n v="1"/>
    <n v="4313"/>
    <n v="4313"/>
    <s v="Delivered"/>
  </r>
  <r>
    <s v="ORD0500"/>
    <x v="17"/>
    <s v="Amit Kumar"/>
    <x v="3"/>
    <x v="1"/>
    <n v="3"/>
    <n v="7974"/>
    <n v="23922"/>
    <s v="Cancelled"/>
  </r>
  <r>
    <s v="ORD0501"/>
    <x v="11"/>
    <s v="Sneha Rao"/>
    <x v="2"/>
    <x v="3"/>
    <n v="7"/>
    <n v="6335"/>
    <n v="44345"/>
    <s v="Cancelled"/>
  </r>
  <r>
    <s v="ORD0502"/>
    <x v="10"/>
    <s v="Sneha Rao"/>
    <x v="2"/>
    <x v="2"/>
    <n v="5"/>
    <n v="2719"/>
    <n v="13595"/>
    <s v="Shipped"/>
  </r>
  <r>
    <s v="ORD0503"/>
    <x v="7"/>
    <s v="Priya Nair"/>
    <x v="4"/>
    <x v="2"/>
    <n v="7"/>
    <n v="4622"/>
    <n v="32354"/>
    <s v="Delivered"/>
  </r>
  <r>
    <s v="ORD0504"/>
    <x v="3"/>
    <s v="Neha Reddy"/>
    <x v="3"/>
    <x v="2"/>
    <n v="7"/>
    <n v="1021"/>
    <n v="7147"/>
    <s v="Delivered"/>
  </r>
  <r>
    <s v="ORD0505"/>
    <x v="9"/>
    <s v="Priya Nair"/>
    <x v="3"/>
    <x v="2"/>
    <n v="2"/>
    <n v="2443"/>
    <n v="4886"/>
    <s v="Shipped"/>
  </r>
  <r>
    <s v="ORD0506"/>
    <x v="6"/>
    <s v="Arjun Das"/>
    <x v="0"/>
    <x v="1"/>
    <n v="8"/>
    <n v="4886"/>
    <n v="39088"/>
    <s v="Delivered"/>
  </r>
  <r>
    <s v="ORD0507"/>
    <x v="16"/>
    <s v="Amit Kumar"/>
    <x v="0"/>
    <x v="1"/>
    <n v="3"/>
    <n v="5264"/>
    <n v="15792"/>
    <s v="Delivered"/>
  </r>
  <r>
    <s v="ORD0508"/>
    <x v="8"/>
    <s v="Rahul Sharma"/>
    <x v="4"/>
    <x v="4"/>
    <n v="4"/>
    <n v="451"/>
    <n v="1804"/>
    <s v="Pending"/>
  </r>
  <r>
    <s v="ORD0509"/>
    <x v="3"/>
    <s v="Meera Iyer"/>
    <x v="3"/>
    <x v="4"/>
    <n v="5"/>
    <n v="1523"/>
    <n v="7615"/>
    <s v="Delivered"/>
  </r>
  <r>
    <s v="ORD0510"/>
    <x v="14"/>
    <s v="Priya Nair"/>
    <x v="2"/>
    <x v="0"/>
    <n v="5"/>
    <n v="26870"/>
    <n v="134350"/>
    <s v="Delivered"/>
  </r>
  <r>
    <s v="ORD0511"/>
    <x v="4"/>
    <s v="Kiran Patel"/>
    <x v="4"/>
    <x v="2"/>
    <n v="2"/>
    <n v="1639"/>
    <n v="3278"/>
    <s v="Delivered"/>
  </r>
  <r>
    <s v="ORD0512"/>
    <x v="10"/>
    <s v="Neha Reddy"/>
    <x v="1"/>
    <x v="4"/>
    <n v="1"/>
    <n v="2360"/>
    <n v="2360"/>
    <s v="Shipped"/>
  </r>
  <r>
    <s v="ORD0513"/>
    <x v="7"/>
    <s v="Kiran Patel"/>
    <x v="1"/>
    <x v="1"/>
    <n v="3"/>
    <n v="6593"/>
    <n v="19779"/>
    <s v="Shipped"/>
  </r>
  <r>
    <s v="ORD0514"/>
    <x v="12"/>
    <s v="Amit Kumar"/>
    <x v="2"/>
    <x v="0"/>
    <n v="1"/>
    <n v="10675"/>
    <n v="10675"/>
    <s v="Delivered"/>
  </r>
  <r>
    <s v="ORD0515"/>
    <x v="16"/>
    <s v="Meera Iyer"/>
    <x v="2"/>
    <x v="4"/>
    <n v="6"/>
    <n v="2151"/>
    <n v="12906"/>
    <s v="Delivered"/>
  </r>
  <r>
    <s v="ORD0516"/>
    <x v="0"/>
    <s v="Rahul Sharma"/>
    <x v="2"/>
    <x v="4"/>
    <n v="8"/>
    <n v="2683"/>
    <n v="21464"/>
    <s v="Delivered"/>
  </r>
  <r>
    <s v="ORD0517"/>
    <x v="14"/>
    <s v="Meera Iyer"/>
    <x v="0"/>
    <x v="0"/>
    <n v="5"/>
    <n v="27041"/>
    <n v="135205"/>
    <s v="Shipped"/>
  </r>
  <r>
    <s v="ORD0518"/>
    <x v="7"/>
    <s v="Kiran Patel"/>
    <x v="3"/>
    <x v="1"/>
    <n v="1"/>
    <n v="1534"/>
    <n v="1534"/>
    <s v="Shipped"/>
  </r>
  <r>
    <s v="ORD0519"/>
    <x v="11"/>
    <s v="Sneha Rao"/>
    <x v="2"/>
    <x v="0"/>
    <n v="5"/>
    <n v="23851"/>
    <n v="119255"/>
    <s v="Delivered"/>
  </r>
  <r>
    <s v="ORD0520"/>
    <x v="12"/>
    <s v="Rahul Sharma"/>
    <x v="4"/>
    <x v="0"/>
    <n v="3"/>
    <n v="22198"/>
    <n v="66594"/>
    <s v="Shipped"/>
  </r>
  <r>
    <s v="ORD0521"/>
    <x v="2"/>
    <s v="Kiran Patel"/>
    <x v="1"/>
    <x v="4"/>
    <n v="5"/>
    <n v="1985"/>
    <n v="9925"/>
    <s v="Shipped"/>
  </r>
  <r>
    <s v="ORD0522"/>
    <x v="6"/>
    <s v="Neha Reddy"/>
    <x v="0"/>
    <x v="0"/>
    <n v="8"/>
    <n v="12400"/>
    <n v="99200"/>
    <s v="Pending"/>
  </r>
  <r>
    <s v="ORD0523"/>
    <x v="8"/>
    <s v="Priya Nair"/>
    <x v="3"/>
    <x v="2"/>
    <n v="6"/>
    <n v="4699"/>
    <n v="28194"/>
    <s v="Pending"/>
  </r>
  <r>
    <s v="ORD0524"/>
    <x v="5"/>
    <s v="Kiran Patel"/>
    <x v="3"/>
    <x v="1"/>
    <n v="2"/>
    <n v="2954"/>
    <n v="5908"/>
    <s v="Cancelled"/>
  </r>
  <r>
    <s v="ORD0525"/>
    <x v="4"/>
    <s v="Kiran Patel"/>
    <x v="0"/>
    <x v="4"/>
    <n v="4"/>
    <n v="864"/>
    <n v="3456"/>
    <s v="Delivered"/>
  </r>
  <r>
    <s v="ORD0526"/>
    <x v="2"/>
    <s v="Rahul Sharma"/>
    <x v="1"/>
    <x v="1"/>
    <n v="6"/>
    <n v="5776"/>
    <n v="34656"/>
    <s v="Delivered"/>
  </r>
  <r>
    <s v="ORD0527"/>
    <x v="12"/>
    <s v="Neha Reddy"/>
    <x v="0"/>
    <x v="4"/>
    <n v="7"/>
    <n v="1907"/>
    <n v="13349"/>
    <s v="Delivered"/>
  </r>
  <r>
    <s v="ORD0528"/>
    <x v="16"/>
    <s v="Sneha Rao"/>
    <x v="0"/>
    <x v="0"/>
    <n v="8"/>
    <n v="24515"/>
    <n v="196120"/>
    <s v="Delivered"/>
  </r>
  <r>
    <s v="ORD0529"/>
    <x v="5"/>
    <s v="Amit Kumar"/>
    <x v="1"/>
    <x v="0"/>
    <n v="5"/>
    <n v="5698"/>
    <n v="28490"/>
    <s v="Delivered"/>
  </r>
  <r>
    <s v="ORD0530"/>
    <x v="3"/>
    <s v="Amit Kumar"/>
    <x v="0"/>
    <x v="3"/>
    <n v="4"/>
    <n v="24483"/>
    <n v="97932"/>
    <s v="Delivered"/>
  </r>
  <r>
    <s v="ORD0531"/>
    <x v="5"/>
    <s v="Arjun Das"/>
    <x v="0"/>
    <x v="4"/>
    <n v="5"/>
    <n v="2648"/>
    <n v="13240"/>
    <s v="Delivered"/>
  </r>
  <r>
    <s v="ORD0532"/>
    <x v="0"/>
    <s v="Neha Reddy"/>
    <x v="3"/>
    <x v="2"/>
    <n v="2"/>
    <n v="3968"/>
    <n v="7936"/>
    <s v="Shipped"/>
  </r>
  <r>
    <s v="ORD0533"/>
    <x v="17"/>
    <s v="Priya Nair"/>
    <x v="4"/>
    <x v="2"/>
    <n v="5"/>
    <n v="3484"/>
    <n v="17420"/>
    <s v="Delivered"/>
  </r>
  <r>
    <s v="ORD0534"/>
    <x v="9"/>
    <s v="Amit Kumar"/>
    <x v="2"/>
    <x v="4"/>
    <n v="7"/>
    <n v="2582"/>
    <n v="18074"/>
    <s v="Shipped"/>
  </r>
  <r>
    <s v="ORD0535"/>
    <x v="13"/>
    <s v="Amit Kumar"/>
    <x v="0"/>
    <x v="0"/>
    <n v="2"/>
    <n v="18477"/>
    <n v="36954"/>
    <s v="Delivered"/>
  </r>
  <r>
    <s v="ORD0536"/>
    <x v="15"/>
    <s v="Meera Iyer"/>
    <x v="3"/>
    <x v="3"/>
    <n v="8"/>
    <n v="19125"/>
    <n v="153000"/>
    <s v="Delivered"/>
  </r>
  <r>
    <s v="ORD0537"/>
    <x v="15"/>
    <s v="Amit Kumar"/>
    <x v="4"/>
    <x v="3"/>
    <n v="3"/>
    <n v="41470"/>
    <n v="124410"/>
    <s v="Delivered"/>
  </r>
  <r>
    <s v="ORD0538"/>
    <x v="10"/>
    <s v="Arjun Das"/>
    <x v="4"/>
    <x v="1"/>
    <n v="7"/>
    <n v="238"/>
    <n v="1666"/>
    <s v="Delivered"/>
  </r>
  <r>
    <s v="ORD0539"/>
    <x v="11"/>
    <s v="Meera Iyer"/>
    <x v="3"/>
    <x v="4"/>
    <n v="4"/>
    <n v="323"/>
    <n v="1292"/>
    <s v="Pending"/>
  </r>
  <r>
    <s v="ORD0540"/>
    <x v="2"/>
    <s v="Sneha Rao"/>
    <x v="0"/>
    <x v="4"/>
    <n v="3"/>
    <n v="670"/>
    <n v="2010"/>
    <s v="Delivered"/>
  </r>
  <r>
    <s v="ORD0541"/>
    <x v="5"/>
    <s v="Amit Kumar"/>
    <x v="3"/>
    <x v="3"/>
    <n v="5"/>
    <n v="20259"/>
    <n v="101295"/>
    <s v="Delivered"/>
  </r>
  <r>
    <s v="ORD0542"/>
    <x v="17"/>
    <s v="Meera Iyer"/>
    <x v="4"/>
    <x v="0"/>
    <n v="6"/>
    <n v="18562"/>
    <n v="111372"/>
    <s v="Delivered"/>
  </r>
  <r>
    <s v="ORD0543"/>
    <x v="11"/>
    <s v="Amit Kumar"/>
    <x v="4"/>
    <x v="3"/>
    <n v="4"/>
    <n v="15901"/>
    <n v="63604"/>
    <s v="Pending"/>
  </r>
  <r>
    <s v="ORD0544"/>
    <x v="9"/>
    <s v="Sneha Rao"/>
    <x v="3"/>
    <x v="2"/>
    <n v="3"/>
    <n v="1108"/>
    <n v="3324"/>
    <s v="Delivered"/>
  </r>
  <r>
    <s v="ORD0545"/>
    <x v="16"/>
    <s v="Arjun Das"/>
    <x v="0"/>
    <x v="2"/>
    <n v="1"/>
    <n v="4965"/>
    <n v="4965"/>
    <s v="Cancelled"/>
  </r>
  <r>
    <s v="ORD0546"/>
    <x v="0"/>
    <s v="Rahul Sharma"/>
    <x v="3"/>
    <x v="3"/>
    <n v="7"/>
    <n v="30318"/>
    <n v="212226"/>
    <s v="Delivered"/>
  </r>
  <r>
    <s v="ORD0547"/>
    <x v="1"/>
    <s v="Kiran Patel"/>
    <x v="4"/>
    <x v="0"/>
    <n v="4"/>
    <n v="25280"/>
    <n v="101120"/>
    <s v="Pending"/>
  </r>
  <r>
    <s v="ORD0548"/>
    <x v="12"/>
    <s v="Kiran Patel"/>
    <x v="4"/>
    <x v="3"/>
    <n v="5"/>
    <n v="42015"/>
    <n v="210075"/>
    <s v="Delivered"/>
  </r>
  <r>
    <s v="ORD0549"/>
    <x v="9"/>
    <s v="Arjun Das"/>
    <x v="3"/>
    <x v="2"/>
    <n v="2"/>
    <n v="2415"/>
    <n v="4830"/>
    <s v="Delivered"/>
  </r>
  <r>
    <s v="ORD0550"/>
    <x v="0"/>
    <s v="Neha Reddy"/>
    <x v="2"/>
    <x v="2"/>
    <n v="4"/>
    <n v="2254"/>
    <n v="9016"/>
    <s v="Shipped"/>
  </r>
  <r>
    <s v="ORD0551"/>
    <x v="11"/>
    <s v="Meera Iyer"/>
    <x v="4"/>
    <x v="4"/>
    <n v="3"/>
    <n v="411"/>
    <n v="1233"/>
    <s v="Delivered"/>
  </r>
  <r>
    <s v="ORD0552"/>
    <x v="11"/>
    <s v="Neha Reddy"/>
    <x v="0"/>
    <x v="0"/>
    <n v="1"/>
    <n v="2917"/>
    <n v="2917"/>
    <s v="Pending"/>
  </r>
  <r>
    <s v="ORD0553"/>
    <x v="0"/>
    <s v="Neha Reddy"/>
    <x v="2"/>
    <x v="3"/>
    <n v="2"/>
    <n v="7838"/>
    <n v="15676"/>
    <s v="Shipped"/>
  </r>
  <r>
    <s v="ORD0554"/>
    <x v="2"/>
    <s v="Neha Reddy"/>
    <x v="0"/>
    <x v="4"/>
    <n v="8"/>
    <n v="455"/>
    <n v="3640"/>
    <s v="Delivered"/>
  </r>
  <r>
    <s v="ORD0555"/>
    <x v="15"/>
    <s v="Rahul Sharma"/>
    <x v="0"/>
    <x v="4"/>
    <n v="6"/>
    <n v="1994"/>
    <n v="11964"/>
    <s v="Pending"/>
  </r>
  <r>
    <s v="ORD0556"/>
    <x v="0"/>
    <s v="Rahul Sharma"/>
    <x v="3"/>
    <x v="0"/>
    <n v="3"/>
    <n v="13269"/>
    <n v="39807"/>
    <s v="Delivered"/>
  </r>
  <r>
    <s v="ORD0557"/>
    <x v="13"/>
    <s v="Kiran Patel"/>
    <x v="3"/>
    <x v="4"/>
    <n v="6"/>
    <n v="999"/>
    <n v="5994"/>
    <s v="Delivered"/>
  </r>
  <r>
    <s v="ORD0558"/>
    <x v="8"/>
    <s v="Neha Reddy"/>
    <x v="0"/>
    <x v="1"/>
    <n v="8"/>
    <n v="6752"/>
    <n v="54016"/>
    <s v="Delivered"/>
  </r>
  <r>
    <s v="ORD0559"/>
    <x v="15"/>
    <s v="Priya Nair"/>
    <x v="2"/>
    <x v="3"/>
    <n v="3"/>
    <n v="7996"/>
    <n v="23988"/>
    <s v="Delivered"/>
  </r>
  <r>
    <s v="ORD0560"/>
    <x v="14"/>
    <s v="Neha Reddy"/>
    <x v="2"/>
    <x v="2"/>
    <n v="7"/>
    <n v="3037"/>
    <n v="21259"/>
    <s v="Delivered"/>
  </r>
  <r>
    <s v="ORD0561"/>
    <x v="9"/>
    <s v="Neha Reddy"/>
    <x v="4"/>
    <x v="3"/>
    <n v="7"/>
    <n v="30080"/>
    <n v="210560"/>
    <s v="Delivered"/>
  </r>
  <r>
    <s v="ORD0562"/>
    <x v="3"/>
    <s v="Meera Iyer"/>
    <x v="3"/>
    <x v="2"/>
    <n v="4"/>
    <n v="2871"/>
    <n v="11484"/>
    <s v="Delivered"/>
  </r>
  <r>
    <s v="ORD0563"/>
    <x v="0"/>
    <s v="Arjun Das"/>
    <x v="2"/>
    <x v="1"/>
    <n v="6"/>
    <n v="5637"/>
    <n v="33822"/>
    <s v="Pending"/>
  </r>
  <r>
    <s v="ORD0564"/>
    <x v="8"/>
    <s v="Amit Kumar"/>
    <x v="1"/>
    <x v="2"/>
    <n v="1"/>
    <n v="195"/>
    <n v="195"/>
    <s v="Pending"/>
  </r>
  <r>
    <s v="ORD0565"/>
    <x v="15"/>
    <s v="Neha Reddy"/>
    <x v="4"/>
    <x v="0"/>
    <n v="2"/>
    <n v="27122"/>
    <n v="54244"/>
    <s v="Delivered"/>
  </r>
  <r>
    <s v="ORD0566"/>
    <x v="2"/>
    <s v="Meera Iyer"/>
    <x v="0"/>
    <x v="3"/>
    <n v="4"/>
    <n v="37277"/>
    <n v="149108"/>
    <s v="Pending"/>
  </r>
  <r>
    <s v="ORD0567"/>
    <x v="8"/>
    <s v="Sneha Rao"/>
    <x v="3"/>
    <x v="1"/>
    <n v="8"/>
    <n v="6763"/>
    <n v="54104"/>
    <s v="Delivered"/>
  </r>
  <r>
    <s v="ORD0568"/>
    <x v="7"/>
    <s v="Neha Reddy"/>
    <x v="4"/>
    <x v="4"/>
    <n v="2"/>
    <n v="2287"/>
    <n v="4574"/>
    <s v="Pending"/>
  </r>
  <r>
    <s v="ORD0569"/>
    <x v="12"/>
    <s v="Priya Nair"/>
    <x v="4"/>
    <x v="1"/>
    <n v="1"/>
    <n v="4764"/>
    <n v="4764"/>
    <s v="Delivered"/>
  </r>
  <r>
    <s v="ORD0570"/>
    <x v="7"/>
    <s v="Kiran Patel"/>
    <x v="1"/>
    <x v="2"/>
    <n v="4"/>
    <n v="5462"/>
    <n v="21848"/>
    <s v="Pending"/>
  </r>
  <r>
    <s v="ORD0571"/>
    <x v="4"/>
    <s v="Meera Iyer"/>
    <x v="3"/>
    <x v="0"/>
    <n v="8"/>
    <n v="13378"/>
    <n v="107024"/>
    <s v="Delivered"/>
  </r>
  <r>
    <s v="ORD0572"/>
    <x v="14"/>
    <s v="Meera Iyer"/>
    <x v="4"/>
    <x v="3"/>
    <n v="2"/>
    <n v="44382"/>
    <n v="88764"/>
    <s v="Delivered"/>
  </r>
  <r>
    <s v="ORD0573"/>
    <x v="4"/>
    <s v="Meera Iyer"/>
    <x v="0"/>
    <x v="2"/>
    <n v="6"/>
    <n v="970"/>
    <n v="5820"/>
    <s v="Delivered"/>
  </r>
  <r>
    <s v="ORD0574"/>
    <x v="15"/>
    <s v="Neha Reddy"/>
    <x v="2"/>
    <x v="1"/>
    <n v="2"/>
    <n v="2283"/>
    <n v="4566"/>
    <s v="Delivered"/>
  </r>
  <r>
    <s v="ORD0575"/>
    <x v="11"/>
    <s v="Priya Nair"/>
    <x v="4"/>
    <x v="0"/>
    <n v="8"/>
    <n v="29518"/>
    <n v="236144"/>
    <s v="Shipped"/>
  </r>
  <r>
    <s v="ORD0576"/>
    <x v="4"/>
    <s v="Priya Nair"/>
    <x v="4"/>
    <x v="3"/>
    <n v="2"/>
    <n v="30724"/>
    <n v="61448"/>
    <s v="Delivered"/>
  </r>
  <r>
    <s v="ORD0577"/>
    <x v="17"/>
    <s v="Amit Kumar"/>
    <x v="4"/>
    <x v="3"/>
    <n v="1"/>
    <n v="37456"/>
    <n v="37456"/>
    <s v="Shipped"/>
  </r>
  <r>
    <s v="ORD0578"/>
    <x v="14"/>
    <s v="Amit Kumar"/>
    <x v="1"/>
    <x v="0"/>
    <n v="3"/>
    <n v="5893"/>
    <n v="17679"/>
    <s v="Delivered"/>
  </r>
  <r>
    <s v="ORD0579"/>
    <x v="4"/>
    <s v="Arjun Das"/>
    <x v="4"/>
    <x v="2"/>
    <n v="4"/>
    <n v="2341"/>
    <n v="9364"/>
    <s v="Delivered"/>
  </r>
  <r>
    <s v="ORD0580"/>
    <x v="4"/>
    <s v="Kiran Patel"/>
    <x v="4"/>
    <x v="0"/>
    <n v="3"/>
    <n v="16024"/>
    <n v="48072"/>
    <s v="Delivered"/>
  </r>
  <r>
    <s v="ORD0581"/>
    <x v="17"/>
    <s v="Kiran Patel"/>
    <x v="1"/>
    <x v="4"/>
    <n v="4"/>
    <n v="1072"/>
    <n v="4288"/>
    <s v="Delivered"/>
  </r>
  <r>
    <s v="ORD0582"/>
    <x v="5"/>
    <s v="Meera Iyer"/>
    <x v="2"/>
    <x v="0"/>
    <n v="6"/>
    <n v="25776"/>
    <n v="154656"/>
    <s v="Delivered"/>
  </r>
  <r>
    <s v="ORD0583"/>
    <x v="6"/>
    <s v="Neha Reddy"/>
    <x v="1"/>
    <x v="2"/>
    <n v="7"/>
    <n v="4473"/>
    <n v="31311"/>
    <s v="Delivered"/>
  </r>
  <r>
    <s v="ORD0584"/>
    <x v="10"/>
    <s v="Rahul Sharma"/>
    <x v="1"/>
    <x v="3"/>
    <n v="1"/>
    <n v="26160"/>
    <n v="26160"/>
    <s v="Delivered"/>
  </r>
  <r>
    <s v="ORD0585"/>
    <x v="16"/>
    <s v="Sneha Rao"/>
    <x v="0"/>
    <x v="0"/>
    <n v="5"/>
    <n v="24893"/>
    <n v="124465"/>
    <s v="Delivered"/>
  </r>
  <r>
    <s v="ORD0586"/>
    <x v="16"/>
    <s v="Kiran Patel"/>
    <x v="2"/>
    <x v="2"/>
    <n v="1"/>
    <n v="3038"/>
    <n v="3038"/>
    <s v="Shipped"/>
  </r>
  <r>
    <s v="ORD0587"/>
    <x v="0"/>
    <s v="Sneha Rao"/>
    <x v="1"/>
    <x v="1"/>
    <n v="4"/>
    <n v="4385"/>
    <n v="17540"/>
    <s v="Shipped"/>
  </r>
  <r>
    <s v="ORD0588"/>
    <x v="5"/>
    <s v="Rahul Sharma"/>
    <x v="4"/>
    <x v="1"/>
    <n v="7"/>
    <n v="6656"/>
    <n v="46592"/>
    <s v="Cancelled"/>
  </r>
  <r>
    <s v="ORD0589"/>
    <x v="4"/>
    <s v="Rahul Sharma"/>
    <x v="3"/>
    <x v="4"/>
    <n v="4"/>
    <n v="2791"/>
    <n v="11164"/>
    <s v="Shipped"/>
  </r>
  <r>
    <s v="ORD0590"/>
    <x v="13"/>
    <s v="Sneha Rao"/>
    <x v="0"/>
    <x v="2"/>
    <n v="4"/>
    <n v="1685"/>
    <n v="6740"/>
    <s v="Delivered"/>
  </r>
  <r>
    <s v="ORD0591"/>
    <x v="15"/>
    <s v="Priya Nair"/>
    <x v="2"/>
    <x v="0"/>
    <n v="2"/>
    <n v="14860"/>
    <n v="29720"/>
    <s v="Delivered"/>
  </r>
  <r>
    <s v="ORD0592"/>
    <x v="3"/>
    <s v="Kiran Patel"/>
    <x v="2"/>
    <x v="0"/>
    <n v="5"/>
    <n v="2684"/>
    <n v="13420"/>
    <s v="Delivered"/>
  </r>
  <r>
    <s v="ORD0593"/>
    <x v="9"/>
    <s v="Rahul Sharma"/>
    <x v="2"/>
    <x v="4"/>
    <n v="1"/>
    <n v="3418"/>
    <n v="3418"/>
    <s v="Shipped"/>
  </r>
  <r>
    <s v="ORD0594"/>
    <x v="5"/>
    <s v="Neha Reddy"/>
    <x v="1"/>
    <x v="2"/>
    <n v="6"/>
    <n v="697"/>
    <n v="4182"/>
    <s v="Shipped"/>
  </r>
  <r>
    <s v="ORD0595"/>
    <x v="4"/>
    <s v="Sneha Rao"/>
    <x v="2"/>
    <x v="2"/>
    <n v="2"/>
    <n v="4238"/>
    <n v="8476"/>
    <s v="Delivered"/>
  </r>
  <r>
    <s v="ORD0596"/>
    <x v="1"/>
    <s v="Arjun Das"/>
    <x v="3"/>
    <x v="4"/>
    <n v="4"/>
    <n v="1123"/>
    <n v="4492"/>
    <s v="Pending"/>
  </r>
  <r>
    <s v="ORD0597"/>
    <x v="4"/>
    <s v="Meera Iyer"/>
    <x v="0"/>
    <x v="0"/>
    <n v="8"/>
    <n v="20893"/>
    <n v="167144"/>
    <s v="Shipped"/>
  </r>
  <r>
    <s v="ORD0598"/>
    <x v="12"/>
    <s v="Priya Nair"/>
    <x v="0"/>
    <x v="1"/>
    <n v="4"/>
    <n v="7609"/>
    <n v="30436"/>
    <s v="Pending"/>
  </r>
  <r>
    <s v="ORD0599"/>
    <x v="2"/>
    <s v="Rahul Sharma"/>
    <x v="0"/>
    <x v="1"/>
    <n v="2"/>
    <n v="3361"/>
    <n v="6722"/>
    <s v="Delivered"/>
  </r>
  <r>
    <s v="ORD0600"/>
    <x v="5"/>
    <s v="Rahul Sharma"/>
    <x v="1"/>
    <x v="4"/>
    <n v="8"/>
    <n v="2243"/>
    <n v="17944"/>
    <s v="Delive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C44AB2-2317-421E-9190-8994951522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G8" firstHeaderRow="1" firstDataRow="2" firstDataCol="1"/>
  <pivotFields count="10">
    <pivotField showAll="0"/>
    <pivotField numFmtId="14" showAll="0">
      <items count="19">
        <item x="12"/>
        <item x="16"/>
        <item x="7"/>
        <item x="0"/>
        <item x="9"/>
        <item x="15"/>
        <item x="11"/>
        <item x="2"/>
        <item x="3"/>
        <item x="5"/>
        <item x="4"/>
        <item x="6"/>
        <item x="8"/>
        <item x="10"/>
        <item x="13"/>
        <item x="14"/>
        <item x="17"/>
        <item x="1"/>
        <item t="default"/>
      </items>
    </pivotField>
    <pivotField showAll="0"/>
    <pivotField axis="axisCol" showAll="0">
      <items count="6">
        <item x="1"/>
        <item x="0"/>
        <item x="2"/>
        <item x="3"/>
        <item x="4"/>
        <item t="default"/>
      </items>
    </pivotField>
    <pivotField showAll="0">
      <items count="6">
        <item x="2"/>
        <item x="4"/>
        <item x="3"/>
        <item x="0"/>
        <item x="1"/>
        <item t="default"/>
      </items>
    </pivotField>
    <pivotField showAll="0"/>
    <pivotField numFmtId="165" showAll="0"/>
    <pivotField dataField="1" numFmtId="165" showAll="0"/>
    <pivotField showAll="0"/>
    <pivotField axis="axisRow" showAll="0">
      <items count="6">
        <item x="0"/>
        <item x="1"/>
        <item x="2"/>
        <item x="3"/>
        <item x="4"/>
        <item t="default"/>
      </items>
    </pivotField>
  </pivotFields>
  <rowFields count="1">
    <field x="9"/>
  </rowFields>
  <rowItems count="4">
    <i>
      <x v="1"/>
    </i>
    <i>
      <x v="2"/>
    </i>
    <i>
      <x v="3"/>
    </i>
    <i t="grand">
      <x/>
    </i>
  </rowItems>
  <colFields count="1">
    <field x="3"/>
  </colFields>
  <colItems count="6">
    <i>
      <x/>
    </i>
    <i>
      <x v="1"/>
    </i>
    <i>
      <x v="2"/>
    </i>
    <i>
      <x v="3"/>
    </i>
    <i>
      <x v="4"/>
    </i>
    <i t="grand">
      <x/>
    </i>
  </colItems>
  <dataFields count="1">
    <dataField name="Sum of Sales" fld="7" baseField="0" baseItem="0" numFmtId="165"/>
  </dataFields>
  <formats count="10">
    <format dxfId="19">
      <pivotArea outline="0" collapsedLevelsAreSubtotals="1" fieldPosition="0">
        <references count="1">
          <reference field="3" count="1" selected="0">
            <x v="0"/>
          </reference>
        </references>
      </pivotArea>
    </format>
    <format dxfId="18">
      <pivotArea field="3" type="button" dataOnly="0" labelOnly="1" outline="0" axis="axisCol" fieldPosition="0"/>
    </format>
    <format dxfId="17">
      <pivotArea dataOnly="0" labelOnly="1" fieldPosition="0">
        <references count="1">
          <reference field="3" count="1">
            <x v="0"/>
          </reference>
        </references>
      </pivotArea>
    </format>
    <format dxfId="16">
      <pivotArea outline="0" collapsedLevelsAreSubtotals="1" fieldPosition="0">
        <references count="1">
          <reference field="3" count="1" selected="0">
            <x v="1"/>
          </reference>
        </references>
      </pivotArea>
    </format>
    <format dxfId="15">
      <pivotArea type="topRight" dataOnly="0" labelOnly="1" outline="0" fieldPosition="0"/>
    </format>
    <format dxfId="14">
      <pivotArea dataOnly="0" labelOnly="1" fieldPosition="0">
        <references count="1">
          <reference field="3" count="1">
            <x v="1"/>
          </reference>
        </references>
      </pivotArea>
    </format>
    <format dxfId="13">
      <pivotArea outline="0" collapsedLevelsAreSubtotals="1" fieldPosition="0">
        <references count="1">
          <reference field="3" count="1" selected="0">
            <x v="2"/>
          </reference>
        </references>
      </pivotArea>
    </format>
    <format dxfId="12">
      <pivotArea outline="0" collapsedLevelsAreSubtotals="1" fieldPosition="0">
        <references count="1">
          <reference field="3" count="1" selected="0">
            <x v="3"/>
          </reference>
        </references>
      </pivotArea>
    </format>
    <format dxfId="11">
      <pivotArea outline="0" collapsedLevelsAreSubtotals="1" fieldPosition="0">
        <references count="1">
          <reference field="3" count="1" selected="0">
            <x v="4"/>
          </reference>
        </references>
      </pivotArea>
    </format>
    <format dxfId="10">
      <pivotArea grandCol="1" outline="0" collapsedLevelsAreSubtotals="1" fieldPosition="0"/>
    </format>
  </formats>
  <chartFormats count="15">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4"/>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8" format="3" series="1">
      <pivotArea type="data" outline="0" fieldPosition="0">
        <references count="2">
          <reference field="4294967294" count="1" selected="0">
            <x v="0"/>
          </reference>
          <reference field="3" count="1" selected="0">
            <x v="3"/>
          </reference>
        </references>
      </pivotArea>
    </chartFormat>
    <chartFormat chart="8" format="4" series="1">
      <pivotArea type="data" outline="0" fieldPosition="0">
        <references count="2">
          <reference field="4294967294" count="1" selected="0">
            <x v="0"/>
          </reference>
          <reference field="3" count="1" selected="0">
            <x v="4"/>
          </reference>
        </references>
      </pivotArea>
    </chartFormat>
    <chartFormat chart="10" format="10" series="1">
      <pivotArea type="data" outline="0" fieldPosition="0">
        <references count="2">
          <reference field="4294967294" count="1" selected="0">
            <x v="0"/>
          </reference>
          <reference field="3" count="1" selected="0">
            <x v="0"/>
          </reference>
        </references>
      </pivotArea>
    </chartFormat>
    <chartFormat chart="10" format="11" series="1">
      <pivotArea type="data" outline="0" fieldPosition="0">
        <references count="2">
          <reference field="4294967294" count="1" selected="0">
            <x v="0"/>
          </reference>
          <reference field="3" count="1" selected="0">
            <x v="1"/>
          </reference>
        </references>
      </pivotArea>
    </chartFormat>
    <chartFormat chart="10" format="12" series="1">
      <pivotArea type="data" outline="0" fieldPosition="0">
        <references count="2">
          <reference field="4294967294" count="1" selected="0">
            <x v="0"/>
          </reference>
          <reference field="3" count="1" selected="0">
            <x v="2"/>
          </reference>
        </references>
      </pivotArea>
    </chartFormat>
    <chartFormat chart="10" format="13" series="1">
      <pivotArea type="data" outline="0" fieldPosition="0">
        <references count="2">
          <reference field="4294967294" count="1" selected="0">
            <x v="0"/>
          </reference>
          <reference field="3" count="1" selected="0">
            <x v="3"/>
          </reference>
        </references>
      </pivotArea>
    </chartFormat>
    <chartFormat chart="10"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3A59DB-A0F6-41EB-883A-D5A110D50B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0">
    <pivotField showAll="0"/>
    <pivotField numFmtId="14" showAll="0">
      <items count="19">
        <item x="12"/>
        <item x="16"/>
        <item x="7"/>
        <item x="0"/>
        <item x="9"/>
        <item x="15"/>
        <item x="11"/>
        <item x="2"/>
        <item x="3"/>
        <item x="5"/>
        <item x="4"/>
        <item x="6"/>
        <item x="8"/>
        <item x="10"/>
        <item x="13"/>
        <item x="14"/>
        <item x="17"/>
        <item x="1"/>
        <item t="default"/>
      </items>
    </pivotField>
    <pivotField showAll="0"/>
    <pivotField axis="axisRow" showAll="0">
      <items count="6">
        <item x="1"/>
        <item x="0"/>
        <item x="2"/>
        <item x="3"/>
        <item x="4"/>
        <item t="default"/>
      </items>
    </pivotField>
    <pivotField showAll="0">
      <items count="6">
        <item x="2"/>
        <item x="4"/>
        <item x="3"/>
        <item x="0"/>
        <item x="1"/>
        <item t="default"/>
      </items>
    </pivotField>
    <pivotField showAll="0"/>
    <pivotField numFmtId="165" showAll="0"/>
    <pivotField dataField="1" numFmtId="165" showAll="0"/>
    <pivotField showAll="0"/>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Sales" fld="7" baseField="0" baseItem="0" numFmtId="167"/>
  </dataFields>
  <formats count="2">
    <format dxfId="9">
      <pivotArea outline="0" collapsedLevelsAreSubtotals="1" fieldPosition="0"/>
    </format>
    <format dxfId="8">
      <pivotArea dataOnly="0" labelOnly="1" outline="0" axis="axisValues" fieldPosition="0"/>
    </format>
  </format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0A23BD-D92B-4F00-8AC1-A9D63CBE6C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10">
    <pivotField showAll="0"/>
    <pivotField numFmtId="14" showAll="0">
      <items count="19">
        <item x="12"/>
        <item x="16"/>
        <item x="7"/>
        <item x="0"/>
        <item x="9"/>
        <item x="15"/>
        <item x="11"/>
        <item x="2"/>
        <item x="3"/>
        <item x="5"/>
        <item x="4"/>
        <item x="6"/>
        <item x="8"/>
        <item x="10"/>
        <item x="13"/>
        <item x="14"/>
        <item x="17"/>
        <item x="1"/>
        <item t="default"/>
      </items>
    </pivotField>
    <pivotField showAll="0"/>
    <pivotField showAll="0">
      <items count="6">
        <item x="1"/>
        <item x="0"/>
        <item x="2"/>
        <item x="3"/>
        <item x="4"/>
        <item t="default"/>
      </items>
    </pivotField>
    <pivotField axis="axisRow" showAll="0">
      <items count="6">
        <item x="2"/>
        <item x="4"/>
        <item x="3"/>
        <item x="0"/>
        <item x="1"/>
        <item t="default"/>
      </items>
    </pivotField>
    <pivotField showAll="0"/>
    <pivotField numFmtId="165" showAll="0"/>
    <pivotField dataField="1" numFmtId="165" showAll="0"/>
    <pivotField showAll="0"/>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Sum of Sales" fld="7" baseField="0" baseItem="0" numFmtId="167"/>
  </dataFields>
  <formats count="2">
    <format dxfId="7">
      <pivotArea outline="0" collapsedLevelsAreSubtotals="1" fieldPosition="0"/>
    </format>
    <format dxfId="6">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B79463C-6F71-4D85-8496-977D908E9326}" sourceName="Category">
  <pivotTables>
    <pivotTable tabId="8" name="PivotTable3"/>
    <pivotTable tabId="7" name="PivotTable2"/>
    <pivotTable tabId="6" name="PivotTable1"/>
  </pivotTables>
  <data>
    <tabular pivotCacheId="998337898">
      <items count="5">
        <i x="2" s="1"/>
        <i x="4"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98AE7D-0087-485C-A7E3-59E86144085A}" sourceName="Region">
  <pivotTables>
    <pivotTable tabId="7" name="PivotTable2"/>
    <pivotTable tabId="8" name="PivotTable3"/>
    <pivotTable tabId="6" name="PivotTable1"/>
  </pivotTables>
  <data>
    <tabular pivotCacheId="998337898">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52002CF-1466-4C6D-9D97-04B784050225}" cache="Slicer_Category" caption="Category" rowHeight="234950"/>
  <slicer name="Region" xr10:uid="{A84E5AC0-A2F6-448F-A99F-6F640C1541D1}"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eanedSalesTable" displayName="CleanedSalesTable" ref="A1:I601">
  <autoFilter ref="A1:I601" xr:uid="{00000000-0009-0000-0100-000002000000}"/>
  <tableColumns count="9">
    <tableColumn id="1" xr3:uid="{00000000-0010-0000-0100-000001000000}" name="Order_ID"/>
    <tableColumn id="2" xr3:uid="{00000000-0010-0000-0100-000002000000}" name="Order_Date" dataDxfId="5"/>
    <tableColumn id="3" xr3:uid="{00000000-0010-0000-0100-000003000000}" name="Employee"/>
    <tableColumn id="4" xr3:uid="{00000000-0010-0000-0100-000004000000}" name="Region"/>
    <tableColumn id="5" xr3:uid="{00000000-0010-0000-0100-000005000000}" name="Category"/>
    <tableColumn id="6" xr3:uid="{00000000-0010-0000-0100-000006000000}" name="Quantity"/>
    <tableColumn id="7" xr3:uid="{00000000-0010-0000-0100-000007000000}" name="Unit_Price"/>
    <tableColumn id="8" xr3:uid="{00000000-0010-0000-0100-000008000000}" name="Sales"/>
    <tableColumn id="9" xr3:uid="{00000000-0010-0000-0100-000009000000}" name="Order_Status"/>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mployeePerformanceTable" displayName="EmployeePerformanceTable" ref="A1:F9">
  <autoFilter ref="A1:F9" xr:uid="{00000000-0009-0000-0100-000003000000}"/>
  <tableColumns count="6">
    <tableColumn id="1" xr3:uid="{00000000-0010-0000-0200-000001000000}" name="Employee"/>
    <tableColumn id="2" xr3:uid="{00000000-0010-0000-0200-000002000000}" name="Target" dataDxfId="4"/>
    <tableColumn id="3" xr3:uid="{00000000-0010-0000-0200-000003000000}" name="Actual_Sales" dataDxfId="3"/>
    <tableColumn id="4" xr3:uid="{00000000-0010-0000-0200-000004000000}" name="Achievement_%"/>
    <tableColumn id="5" xr3:uid="{00000000-0010-0000-0200-000005000000}" name="Shortfall" dataDxfId="2"/>
    <tableColumn id="6" xr3:uid="{1C8B8C84-376B-4BAA-8D05-349B0C31420D}" name="Performance Status" dataDxfId="1">
      <calculatedColumnFormula>IF(D2&gt;=1,"Target Achieved",IF(D2&gt;=0.8,"Near Target","Below Target"))</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8"/>
  <sheetViews>
    <sheetView showGridLines="0" workbookViewId="0">
      <selection sqref="A1:B1"/>
    </sheetView>
  </sheetViews>
  <sheetFormatPr defaultRowHeight="14.4" x14ac:dyDescent="0.3"/>
  <cols>
    <col min="1" max="1" width="22" customWidth="1"/>
    <col min="2" max="2" width="105" customWidth="1"/>
  </cols>
  <sheetData>
    <row r="1" spans="1:2" ht="21" x14ac:dyDescent="0.4">
      <c r="A1" s="40" t="s">
        <v>0</v>
      </c>
      <c r="B1" s="41"/>
    </row>
    <row r="2" spans="1:2" ht="34.950000000000003" customHeight="1" x14ac:dyDescent="0.3">
      <c r="A2" s="1" t="s">
        <v>1</v>
      </c>
      <c r="B2" s="2" t="s">
        <v>2</v>
      </c>
    </row>
    <row r="3" spans="1:2" ht="34.950000000000003" customHeight="1" x14ac:dyDescent="0.3">
      <c r="A3" s="1" t="s">
        <v>3</v>
      </c>
      <c r="B3" s="2" t="s">
        <v>4</v>
      </c>
    </row>
    <row r="4" spans="1:2" ht="34.950000000000003" customHeight="1" x14ac:dyDescent="0.3">
      <c r="A4" s="1" t="s">
        <v>5</v>
      </c>
      <c r="B4" s="2" t="s">
        <v>6</v>
      </c>
    </row>
    <row r="5" spans="1:2" ht="34.950000000000003" customHeight="1" x14ac:dyDescent="0.3">
      <c r="A5" s="1" t="s">
        <v>7</v>
      </c>
      <c r="B5" s="2" t="s">
        <v>8</v>
      </c>
    </row>
    <row r="6" spans="1:2" ht="34.950000000000003" customHeight="1" x14ac:dyDescent="0.3">
      <c r="A6" s="1" t="s">
        <v>9</v>
      </c>
      <c r="B6" s="2" t="s">
        <v>10</v>
      </c>
    </row>
    <row r="7" spans="1:2" ht="34.950000000000003" customHeight="1" x14ac:dyDescent="0.3">
      <c r="A7" s="1" t="s">
        <v>11</v>
      </c>
      <c r="B7" s="2" t="s">
        <v>12</v>
      </c>
    </row>
    <row r="8" spans="1:2" ht="34.950000000000003" customHeight="1" x14ac:dyDescent="0.3">
      <c r="A8" s="1" t="s">
        <v>13</v>
      </c>
      <c r="B8" s="2" t="s">
        <v>14</v>
      </c>
    </row>
  </sheetData>
  <mergeCells count="1">
    <mergeCell ref="A1:B1"/>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01"/>
  <sheetViews>
    <sheetView showGridLines="0" tabSelected="1" workbookViewId="0">
      <pane ySplit="1" topLeftCell="A2" activePane="bottomLeft" state="frozen"/>
      <selection pane="bottomLeft" activeCell="J581" sqref="J581"/>
    </sheetView>
  </sheetViews>
  <sheetFormatPr defaultRowHeight="14.4" x14ac:dyDescent="0.3"/>
  <cols>
    <col min="1" max="2" width="15" customWidth="1"/>
    <col min="3" max="3" width="22" customWidth="1"/>
    <col min="4" max="4" width="14" customWidth="1"/>
    <col min="5" max="5" width="20" customWidth="1"/>
    <col min="6" max="6" width="12" customWidth="1"/>
    <col min="7" max="7" width="15" customWidth="1"/>
    <col min="8" max="9" width="16" customWidth="1"/>
  </cols>
  <sheetData>
    <row r="1" spans="1:9" x14ac:dyDescent="0.3">
      <c r="A1" s="3" t="s">
        <v>15</v>
      </c>
      <c r="B1" s="3" t="s">
        <v>16</v>
      </c>
      <c r="C1" s="3" t="s">
        <v>17</v>
      </c>
      <c r="D1" s="3" t="s">
        <v>18</v>
      </c>
      <c r="E1" s="3" t="s">
        <v>19</v>
      </c>
      <c r="F1" s="3" t="s">
        <v>20</v>
      </c>
      <c r="G1" s="3" t="s">
        <v>21</v>
      </c>
      <c r="H1" s="3" t="s">
        <v>22</v>
      </c>
      <c r="I1" s="3" t="s">
        <v>23</v>
      </c>
    </row>
    <row r="2" spans="1:9" x14ac:dyDescent="0.3">
      <c r="A2" s="18" t="s">
        <v>24</v>
      </c>
      <c r="B2" s="38">
        <v>46299</v>
      </c>
      <c r="C2" s="18" t="s">
        <v>25</v>
      </c>
      <c r="D2" s="18" t="s">
        <v>26</v>
      </c>
      <c r="E2" s="18" t="s">
        <v>27</v>
      </c>
      <c r="F2" s="18">
        <v>4</v>
      </c>
      <c r="G2" s="39">
        <v>7072</v>
      </c>
      <c r="H2" s="39">
        <v>28288</v>
      </c>
      <c r="I2" s="18" t="s">
        <v>28</v>
      </c>
    </row>
    <row r="3" spans="1:9" x14ac:dyDescent="0.3">
      <c r="A3" s="18" t="s">
        <v>29</v>
      </c>
      <c r="B3" s="38">
        <v>46313</v>
      </c>
      <c r="C3" s="18" t="s">
        <v>30</v>
      </c>
      <c r="D3" s="18" t="s">
        <v>31</v>
      </c>
      <c r="E3" s="18" t="s">
        <v>32</v>
      </c>
      <c r="F3" s="18">
        <v>1</v>
      </c>
      <c r="G3" s="39">
        <v>444</v>
      </c>
      <c r="H3" s="39">
        <v>444</v>
      </c>
      <c r="I3" s="18" t="s">
        <v>33</v>
      </c>
    </row>
    <row r="4" spans="1:9" x14ac:dyDescent="0.3">
      <c r="A4" s="18" t="s">
        <v>34</v>
      </c>
      <c r="B4" s="38">
        <v>46303</v>
      </c>
      <c r="C4" s="18" t="s">
        <v>25</v>
      </c>
      <c r="D4" s="18" t="s">
        <v>31</v>
      </c>
      <c r="E4" s="18" t="s">
        <v>27</v>
      </c>
      <c r="F4" s="18">
        <v>7</v>
      </c>
      <c r="G4" s="39">
        <v>9723</v>
      </c>
      <c r="H4" s="39">
        <v>68061</v>
      </c>
      <c r="I4" s="18" t="s">
        <v>33</v>
      </c>
    </row>
    <row r="5" spans="1:9" x14ac:dyDescent="0.3">
      <c r="A5" s="18" t="s">
        <v>35</v>
      </c>
      <c r="B5" s="38">
        <v>46304</v>
      </c>
      <c r="C5" s="18" t="s">
        <v>25</v>
      </c>
      <c r="D5" s="18" t="s">
        <v>36</v>
      </c>
      <c r="E5" s="18" t="s">
        <v>32</v>
      </c>
      <c r="F5" s="18">
        <v>6</v>
      </c>
      <c r="G5" s="39">
        <v>2476</v>
      </c>
      <c r="H5" s="39">
        <v>14856</v>
      </c>
      <c r="I5" s="18" t="s">
        <v>33</v>
      </c>
    </row>
    <row r="6" spans="1:9" x14ac:dyDescent="0.3">
      <c r="A6" s="18" t="s">
        <v>37</v>
      </c>
      <c r="B6" s="38">
        <v>46306</v>
      </c>
      <c r="C6" s="18" t="s">
        <v>30</v>
      </c>
      <c r="D6" s="18" t="s">
        <v>38</v>
      </c>
      <c r="E6" s="18" t="s">
        <v>32</v>
      </c>
      <c r="F6" s="18">
        <v>2</v>
      </c>
      <c r="G6" s="39">
        <v>3140</v>
      </c>
      <c r="H6" s="39">
        <v>6280</v>
      </c>
      <c r="I6" s="18" t="s">
        <v>39</v>
      </c>
    </row>
    <row r="7" spans="1:9" x14ac:dyDescent="0.3">
      <c r="A7" s="18" t="s">
        <v>40</v>
      </c>
      <c r="B7" s="38">
        <v>46304</v>
      </c>
      <c r="C7" s="18" t="s">
        <v>25</v>
      </c>
      <c r="D7" s="18" t="s">
        <v>41</v>
      </c>
      <c r="E7" s="18" t="s">
        <v>42</v>
      </c>
      <c r="F7" s="18">
        <v>2</v>
      </c>
      <c r="G7" s="39">
        <v>3200</v>
      </c>
      <c r="H7" s="39">
        <v>6400</v>
      </c>
      <c r="I7" s="18" t="s">
        <v>33</v>
      </c>
    </row>
    <row r="8" spans="1:9" x14ac:dyDescent="0.3">
      <c r="A8" s="18" t="s">
        <v>43</v>
      </c>
      <c r="B8" s="38">
        <v>46305</v>
      </c>
      <c r="C8" s="18" t="s">
        <v>44</v>
      </c>
      <c r="D8" s="18" t="s">
        <v>31</v>
      </c>
      <c r="E8" s="18" t="s">
        <v>27</v>
      </c>
      <c r="F8" s="18">
        <v>2</v>
      </c>
      <c r="G8" s="39">
        <v>4001</v>
      </c>
      <c r="H8" s="39">
        <v>8002</v>
      </c>
      <c r="I8" s="18" t="s">
        <v>28</v>
      </c>
    </row>
    <row r="9" spans="1:9" x14ac:dyDescent="0.3">
      <c r="A9" s="18" t="s">
        <v>45</v>
      </c>
      <c r="B9" s="38">
        <v>46305</v>
      </c>
      <c r="C9" s="18" t="s">
        <v>30</v>
      </c>
      <c r="D9" s="18" t="s">
        <v>36</v>
      </c>
      <c r="E9" s="18" t="s">
        <v>46</v>
      </c>
      <c r="F9" s="18">
        <v>7</v>
      </c>
      <c r="G9" s="39">
        <v>19417</v>
      </c>
      <c r="H9" s="39">
        <v>135919</v>
      </c>
      <c r="I9" s="18" t="s">
        <v>33</v>
      </c>
    </row>
    <row r="10" spans="1:9" x14ac:dyDescent="0.3">
      <c r="A10" s="18" t="s">
        <v>47</v>
      </c>
      <c r="B10" s="38">
        <v>46307</v>
      </c>
      <c r="C10" s="18" t="s">
        <v>48</v>
      </c>
      <c r="D10" s="18" t="s">
        <v>26</v>
      </c>
      <c r="E10" s="18" t="s">
        <v>49</v>
      </c>
      <c r="F10" s="18">
        <v>4</v>
      </c>
      <c r="G10" s="39">
        <v>2995</v>
      </c>
      <c r="H10" s="39">
        <v>11980</v>
      </c>
      <c r="I10" s="18" t="s">
        <v>33</v>
      </c>
    </row>
    <row r="11" spans="1:9" x14ac:dyDescent="0.3">
      <c r="A11" s="18" t="s">
        <v>50</v>
      </c>
      <c r="B11" s="38">
        <v>46298</v>
      </c>
      <c r="C11" s="18" t="s">
        <v>48</v>
      </c>
      <c r="D11" s="18" t="s">
        <v>31</v>
      </c>
      <c r="E11" s="18" t="s">
        <v>27</v>
      </c>
      <c r="F11" s="18">
        <v>3</v>
      </c>
      <c r="G11" s="39">
        <v>17647</v>
      </c>
      <c r="H11" s="39">
        <v>52941</v>
      </c>
      <c r="I11" s="18" t="s">
        <v>33</v>
      </c>
    </row>
    <row r="12" spans="1:9" x14ac:dyDescent="0.3">
      <c r="A12" s="18" t="s">
        <v>51</v>
      </c>
      <c r="B12" s="38">
        <v>46313</v>
      </c>
      <c r="C12" s="18" t="s">
        <v>52</v>
      </c>
      <c r="D12" s="18" t="s">
        <v>26</v>
      </c>
      <c r="E12" s="18" t="s">
        <v>46</v>
      </c>
      <c r="F12" s="18">
        <v>4</v>
      </c>
      <c r="G12" s="39">
        <v>3303</v>
      </c>
      <c r="H12" s="39">
        <v>13212</v>
      </c>
      <c r="I12" s="18" t="s">
        <v>39</v>
      </c>
    </row>
    <row r="13" spans="1:9" x14ac:dyDescent="0.3">
      <c r="A13" s="18" t="s">
        <v>53</v>
      </c>
      <c r="B13" s="38">
        <v>46308</v>
      </c>
      <c r="C13" s="18" t="s">
        <v>54</v>
      </c>
      <c r="D13" s="18" t="s">
        <v>38</v>
      </c>
      <c r="E13" s="18" t="s">
        <v>27</v>
      </c>
      <c r="F13" s="18">
        <v>6</v>
      </c>
      <c r="G13" s="39">
        <v>9467</v>
      </c>
      <c r="H13" s="39">
        <v>56802</v>
      </c>
      <c r="I13" s="18" t="s">
        <v>28</v>
      </c>
    </row>
    <row r="14" spans="1:9" x14ac:dyDescent="0.3">
      <c r="A14" s="18" t="s">
        <v>55</v>
      </c>
      <c r="B14" s="38">
        <v>46308</v>
      </c>
      <c r="C14" s="18" t="s">
        <v>56</v>
      </c>
      <c r="D14" s="18" t="s">
        <v>36</v>
      </c>
      <c r="E14" s="18" t="s">
        <v>49</v>
      </c>
      <c r="F14" s="18">
        <v>3</v>
      </c>
      <c r="G14" s="39">
        <v>1260</v>
      </c>
      <c r="H14" s="39">
        <v>3780</v>
      </c>
      <c r="I14" s="18" t="s">
        <v>28</v>
      </c>
    </row>
    <row r="15" spans="1:9" x14ac:dyDescent="0.3">
      <c r="A15" s="18" t="s">
        <v>57</v>
      </c>
      <c r="B15" s="38">
        <v>46313</v>
      </c>
      <c r="C15" s="18" t="s">
        <v>54</v>
      </c>
      <c r="D15" s="18" t="s">
        <v>31</v>
      </c>
      <c r="E15" s="18" t="s">
        <v>32</v>
      </c>
      <c r="F15" s="18">
        <v>7</v>
      </c>
      <c r="G15" s="39">
        <v>3165</v>
      </c>
      <c r="H15" s="39">
        <v>22155</v>
      </c>
      <c r="I15" s="18" t="s">
        <v>33</v>
      </c>
    </row>
    <row r="16" spans="1:9" x14ac:dyDescent="0.3">
      <c r="A16" s="18" t="s">
        <v>58</v>
      </c>
      <c r="B16" s="38">
        <v>46300</v>
      </c>
      <c r="C16" s="18" t="s">
        <v>56</v>
      </c>
      <c r="D16" s="18" t="s">
        <v>38</v>
      </c>
      <c r="E16" s="18" t="s">
        <v>46</v>
      </c>
      <c r="F16" s="18">
        <v>2</v>
      </c>
      <c r="G16" s="39">
        <v>11216</v>
      </c>
      <c r="H16" s="39">
        <v>22432</v>
      </c>
      <c r="I16" s="18" t="s">
        <v>28</v>
      </c>
    </row>
    <row r="17" spans="1:9" x14ac:dyDescent="0.3">
      <c r="A17" s="18" t="s">
        <v>59</v>
      </c>
      <c r="B17" s="38">
        <v>46309</v>
      </c>
      <c r="C17" s="18" t="s">
        <v>30</v>
      </c>
      <c r="D17" s="18" t="s">
        <v>41</v>
      </c>
      <c r="E17" s="18" t="s">
        <v>32</v>
      </c>
      <c r="F17" s="18">
        <v>8</v>
      </c>
      <c r="G17" s="39">
        <v>4534</v>
      </c>
      <c r="H17" s="39">
        <v>36272</v>
      </c>
      <c r="I17" s="18" t="s">
        <v>33</v>
      </c>
    </row>
    <row r="18" spans="1:9" x14ac:dyDescent="0.3">
      <c r="A18" s="18" t="s">
        <v>60</v>
      </c>
      <c r="B18" s="38">
        <v>46313</v>
      </c>
      <c r="C18" s="18" t="s">
        <v>25</v>
      </c>
      <c r="D18" s="18" t="s">
        <v>38</v>
      </c>
      <c r="E18" s="18" t="s">
        <v>42</v>
      </c>
      <c r="F18" s="18">
        <v>5</v>
      </c>
      <c r="G18" s="39">
        <v>5350</v>
      </c>
      <c r="H18" s="39">
        <v>26750</v>
      </c>
      <c r="I18" s="18" t="s">
        <v>33</v>
      </c>
    </row>
    <row r="19" spans="1:9" x14ac:dyDescent="0.3">
      <c r="A19" s="18" t="s">
        <v>61</v>
      </c>
      <c r="B19" s="38">
        <v>46305</v>
      </c>
      <c r="C19" s="18" t="s">
        <v>62</v>
      </c>
      <c r="D19" s="18" t="s">
        <v>36</v>
      </c>
      <c r="E19" s="18" t="s">
        <v>32</v>
      </c>
      <c r="F19" s="18">
        <v>1</v>
      </c>
      <c r="G19" s="39">
        <v>6115</v>
      </c>
      <c r="H19" s="39">
        <v>6115</v>
      </c>
      <c r="I19" s="18" t="s">
        <v>39</v>
      </c>
    </row>
    <row r="20" spans="1:9" x14ac:dyDescent="0.3">
      <c r="A20" s="18" t="s">
        <v>63</v>
      </c>
      <c r="B20" s="38">
        <v>46304</v>
      </c>
      <c r="C20" s="18" t="s">
        <v>48</v>
      </c>
      <c r="D20" s="18" t="s">
        <v>31</v>
      </c>
      <c r="E20" s="18" t="s">
        <v>46</v>
      </c>
      <c r="F20" s="18">
        <v>5</v>
      </c>
      <c r="G20" s="39">
        <v>43074</v>
      </c>
      <c r="H20" s="39">
        <v>215370</v>
      </c>
      <c r="I20" s="18" t="s">
        <v>33</v>
      </c>
    </row>
    <row r="21" spans="1:9" x14ac:dyDescent="0.3">
      <c r="A21" s="18" t="s">
        <v>64</v>
      </c>
      <c r="B21" s="38">
        <v>46302</v>
      </c>
      <c r="C21" s="18" t="s">
        <v>48</v>
      </c>
      <c r="D21" s="18" t="s">
        <v>26</v>
      </c>
      <c r="E21" s="18" t="s">
        <v>27</v>
      </c>
      <c r="F21" s="18">
        <v>1</v>
      </c>
      <c r="G21" s="39">
        <v>22126</v>
      </c>
      <c r="H21" s="39">
        <v>22126</v>
      </c>
      <c r="I21" s="18" t="s">
        <v>33</v>
      </c>
    </row>
    <row r="22" spans="1:9" x14ac:dyDescent="0.3">
      <c r="A22" s="18" t="s">
        <v>65</v>
      </c>
      <c r="B22" s="38">
        <v>46296</v>
      </c>
      <c r="C22" s="18" t="s">
        <v>30</v>
      </c>
      <c r="D22" s="18" t="s">
        <v>26</v>
      </c>
      <c r="E22" s="18" t="s">
        <v>49</v>
      </c>
      <c r="F22" s="18">
        <v>4</v>
      </c>
      <c r="G22" s="39">
        <v>487</v>
      </c>
      <c r="H22" s="39">
        <v>1948</v>
      </c>
      <c r="I22" s="18" t="s">
        <v>33</v>
      </c>
    </row>
    <row r="23" spans="1:9" x14ac:dyDescent="0.3">
      <c r="A23" s="18" t="s">
        <v>66</v>
      </c>
      <c r="B23" s="38">
        <v>46298</v>
      </c>
      <c r="C23" s="18" t="s">
        <v>30</v>
      </c>
      <c r="D23" s="18" t="s">
        <v>41</v>
      </c>
      <c r="E23" s="18" t="s">
        <v>46</v>
      </c>
      <c r="F23" s="18">
        <v>3</v>
      </c>
      <c r="G23" s="39">
        <v>9614</v>
      </c>
      <c r="H23" s="39">
        <v>28842</v>
      </c>
      <c r="I23" s="18" t="s">
        <v>28</v>
      </c>
    </row>
    <row r="24" spans="1:9" x14ac:dyDescent="0.3">
      <c r="A24" s="18" t="s">
        <v>67</v>
      </c>
      <c r="B24" s="38">
        <v>46313</v>
      </c>
      <c r="C24" s="18" t="s">
        <v>48</v>
      </c>
      <c r="D24" s="18" t="s">
        <v>26</v>
      </c>
      <c r="E24" s="18" t="s">
        <v>42</v>
      </c>
      <c r="F24" s="18">
        <v>7</v>
      </c>
      <c r="G24" s="39">
        <v>1835</v>
      </c>
      <c r="H24" s="39">
        <v>12845</v>
      </c>
      <c r="I24" s="18" t="s">
        <v>39</v>
      </c>
    </row>
    <row r="25" spans="1:9" x14ac:dyDescent="0.3">
      <c r="A25" s="18" t="s">
        <v>68</v>
      </c>
      <c r="B25" s="38">
        <v>46302</v>
      </c>
      <c r="C25" s="18" t="s">
        <v>54</v>
      </c>
      <c r="D25" s="18" t="s">
        <v>41</v>
      </c>
      <c r="E25" s="18" t="s">
        <v>49</v>
      </c>
      <c r="F25" s="18">
        <v>8</v>
      </c>
      <c r="G25" s="39">
        <v>2369</v>
      </c>
      <c r="H25" s="39">
        <v>18952</v>
      </c>
      <c r="I25" s="18" t="s">
        <v>33</v>
      </c>
    </row>
    <row r="26" spans="1:9" x14ac:dyDescent="0.3">
      <c r="A26" s="18" t="s">
        <v>69</v>
      </c>
      <c r="B26" s="38">
        <v>46303</v>
      </c>
      <c r="C26" s="18" t="s">
        <v>52</v>
      </c>
      <c r="D26" s="18" t="s">
        <v>38</v>
      </c>
      <c r="E26" s="18" t="s">
        <v>49</v>
      </c>
      <c r="F26" s="18">
        <v>1</v>
      </c>
      <c r="G26" s="39">
        <v>2659</v>
      </c>
      <c r="H26" s="39">
        <v>2659</v>
      </c>
      <c r="I26" s="18" t="s">
        <v>33</v>
      </c>
    </row>
    <row r="27" spans="1:9" x14ac:dyDescent="0.3">
      <c r="A27" s="18" t="s">
        <v>70</v>
      </c>
      <c r="B27" s="38">
        <v>46303</v>
      </c>
      <c r="C27" s="18" t="s">
        <v>25</v>
      </c>
      <c r="D27" s="18" t="s">
        <v>38</v>
      </c>
      <c r="E27" s="18" t="s">
        <v>46</v>
      </c>
      <c r="F27" s="18">
        <v>4</v>
      </c>
      <c r="G27" s="39">
        <v>5617</v>
      </c>
      <c r="H27" s="39">
        <v>22468</v>
      </c>
      <c r="I27" s="18" t="s">
        <v>39</v>
      </c>
    </row>
    <row r="28" spans="1:9" x14ac:dyDescent="0.3">
      <c r="A28" s="18" t="s">
        <v>71</v>
      </c>
      <c r="B28" s="38">
        <v>46306</v>
      </c>
      <c r="C28" s="18" t="s">
        <v>30</v>
      </c>
      <c r="D28" s="18" t="s">
        <v>31</v>
      </c>
      <c r="E28" s="18" t="s">
        <v>27</v>
      </c>
      <c r="F28" s="18">
        <v>5</v>
      </c>
      <c r="G28" s="39">
        <v>24421</v>
      </c>
      <c r="H28" s="39">
        <v>122105</v>
      </c>
      <c r="I28" s="18" t="s">
        <v>33</v>
      </c>
    </row>
    <row r="29" spans="1:9" x14ac:dyDescent="0.3">
      <c r="A29" s="18" t="s">
        <v>72</v>
      </c>
      <c r="B29" s="38">
        <v>46313</v>
      </c>
      <c r="C29" s="18" t="s">
        <v>48</v>
      </c>
      <c r="D29" s="18" t="s">
        <v>31</v>
      </c>
      <c r="E29" s="18" t="s">
        <v>42</v>
      </c>
      <c r="F29" s="18">
        <v>8</v>
      </c>
      <c r="G29" s="39">
        <v>2090</v>
      </c>
      <c r="H29" s="39">
        <v>16720</v>
      </c>
      <c r="I29" s="18" t="s">
        <v>39</v>
      </c>
    </row>
    <row r="30" spans="1:9" x14ac:dyDescent="0.3">
      <c r="A30" s="18" t="s">
        <v>73</v>
      </c>
      <c r="B30" s="38">
        <v>46309</v>
      </c>
      <c r="C30" s="18" t="s">
        <v>52</v>
      </c>
      <c r="D30" s="18" t="s">
        <v>38</v>
      </c>
      <c r="E30" s="18" t="s">
        <v>46</v>
      </c>
      <c r="F30" s="18">
        <v>7</v>
      </c>
      <c r="G30" s="39">
        <v>24419</v>
      </c>
      <c r="H30" s="39">
        <v>170933</v>
      </c>
      <c r="I30" s="18" t="s">
        <v>33</v>
      </c>
    </row>
    <row r="31" spans="1:9" x14ac:dyDescent="0.3">
      <c r="A31" s="18" t="s">
        <v>74</v>
      </c>
      <c r="B31" s="38">
        <v>46310</v>
      </c>
      <c r="C31" s="18" t="s">
        <v>25</v>
      </c>
      <c r="D31" s="18" t="s">
        <v>38</v>
      </c>
      <c r="E31" s="18" t="s">
        <v>46</v>
      </c>
      <c r="F31" s="18">
        <v>7</v>
      </c>
      <c r="G31" s="39">
        <v>23436</v>
      </c>
      <c r="H31" s="39">
        <v>164052</v>
      </c>
      <c r="I31" s="18" t="s">
        <v>39</v>
      </c>
    </row>
    <row r="32" spans="1:9" x14ac:dyDescent="0.3">
      <c r="A32" s="18" t="s">
        <v>75</v>
      </c>
      <c r="B32" s="38">
        <v>46299</v>
      </c>
      <c r="C32" s="18" t="s">
        <v>52</v>
      </c>
      <c r="D32" s="18" t="s">
        <v>36</v>
      </c>
      <c r="E32" s="18" t="s">
        <v>27</v>
      </c>
      <c r="F32" s="18">
        <v>8</v>
      </c>
      <c r="G32" s="39">
        <v>7093</v>
      </c>
      <c r="H32" s="39">
        <v>56744</v>
      </c>
      <c r="I32" s="18" t="s">
        <v>33</v>
      </c>
    </row>
    <row r="33" spans="1:9" x14ac:dyDescent="0.3">
      <c r="A33" s="18" t="s">
        <v>76</v>
      </c>
      <c r="B33" s="38">
        <v>46304</v>
      </c>
      <c r="C33" s="18" t="s">
        <v>56</v>
      </c>
      <c r="D33" s="18" t="s">
        <v>36</v>
      </c>
      <c r="E33" s="18" t="s">
        <v>46</v>
      </c>
      <c r="F33" s="18">
        <v>8</v>
      </c>
      <c r="G33" s="39">
        <v>37266</v>
      </c>
      <c r="H33" s="39">
        <v>298128</v>
      </c>
      <c r="I33" s="18" t="s">
        <v>33</v>
      </c>
    </row>
    <row r="34" spans="1:9" x14ac:dyDescent="0.3">
      <c r="A34" s="18" t="s">
        <v>77</v>
      </c>
      <c r="B34" s="38">
        <v>46313</v>
      </c>
      <c r="C34" s="18" t="s">
        <v>25</v>
      </c>
      <c r="D34" s="18" t="s">
        <v>38</v>
      </c>
      <c r="E34" s="18" t="s">
        <v>27</v>
      </c>
      <c r="F34" s="18">
        <v>3</v>
      </c>
      <c r="G34" s="39">
        <v>15817</v>
      </c>
      <c r="H34" s="39">
        <v>47451</v>
      </c>
      <c r="I34" s="18" t="s">
        <v>33</v>
      </c>
    </row>
    <row r="35" spans="1:9" x14ac:dyDescent="0.3">
      <c r="A35" s="18" t="s">
        <v>78</v>
      </c>
      <c r="B35" s="38">
        <v>46302</v>
      </c>
      <c r="C35" s="18" t="s">
        <v>62</v>
      </c>
      <c r="D35" s="18" t="s">
        <v>38</v>
      </c>
      <c r="E35" s="18" t="s">
        <v>27</v>
      </c>
      <c r="F35" s="18">
        <v>7</v>
      </c>
      <c r="G35" s="39">
        <v>2570</v>
      </c>
      <c r="H35" s="39">
        <v>17990</v>
      </c>
      <c r="I35" s="18" t="s">
        <v>79</v>
      </c>
    </row>
    <row r="36" spans="1:9" x14ac:dyDescent="0.3">
      <c r="A36" s="18" t="s">
        <v>80</v>
      </c>
      <c r="B36" s="38">
        <v>46304</v>
      </c>
      <c r="C36" s="18" t="s">
        <v>56</v>
      </c>
      <c r="D36" s="18" t="s">
        <v>26</v>
      </c>
      <c r="E36" s="18" t="s">
        <v>32</v>
      </c>
      <c r="F36" s="18">
        <v>8</v>
      </c>
      <c r="G36" s="39">
        <v>1468</v>
      </c>
      <c r="H36" s="39">
        <v>11744</v>
      </c>
      <c r="I36" s="18" t="s">
        <v>33</v>
      </c>
    </row>
    <row r="37" spans="1:9" x14ac:dyDescent="0.3">
      <c r="A37" s="18" t="s">
        <v>81</v>
      </c>
      <c r="B37" s="38">
        <v>46302</v>
      </c>
      <c r="C37" s="18" t="s">
        <v>25</v>
      </c>
      <c r="D37" s="18" t="s">
        <v>31</v>
      </c>
      <c r="E37" s="18" t="s">
        <v>42</v>
      </c>
      <c r="F37" s="18">
        <v>1</v>
      </c>
      <c r="G37" s="39">
        <v>2669</v>
      </c>
      <c r="H37" s="39">
        <v>2669</v>
      </c>
      <c r="I37" s="18" t="s">
        <v>33</v>
      </c>
    </row>
    <row r="38" spans="1:9" x14ac:dyDescent="0.3">
      <c r="A38" s="18" t="s">
        <v>82</v>
      </c>
      <c r="B38" s="38">
        <v>46311</v>
      </c>
      <c r="C38" s="18" t="s">
        <v>48</v>
      </c>
      <c r="D38" s="18" t="s">
        <v>38</v>
      </c>
      <c r="E38" s="18" t="s">
        <v>42</v>
      </c>
      <c r="F38" s="18">
        <v>2</v>
      </c>
      <c r="G38" s="39">
        <v>1622</v>
      </c>
      <c r="H38" s="39">
        <v>3244</v>
      </c>
      <c r="I38" s="18" t="s">
        <v>33</v>
      </c>
    </row>
    <row r="39" spans="1:9" x14ac:dyDescent="0.3">
      <c r="A39" s="18" t="s">
        <v>83</v>
      </c>
      <c r="B39" s="38">
        <v>46298</v>
      </c>
      <c r="C39" s="18" t="s">
        <v>52</v>
      </c>
      <c r="D39" s="18" t="s">
        <v>41</v>
      </c>
      <c r="E39" s="18" t="s">
        <v>46</v>
      </c>
      <c r="F39" s="18">
        <v>4</v>
      </c>
      <c r="G39" s="39">
        <v>39140</v>
      </c>
      <c r="H39" s="39">
        <v>156560</v>
      </c>
      <c r="I39" s="18" t="s">
        <v>33</v>
      </c>
    </row>
    <row r="40" spans="1:9" x14ac:dyDescent="0.3">
      <c r="A40" s="18" t="s">
        <v>84</v>
      </c>
      <c r="B40" s="38">
        <v>46298</v>
      </c>
      <c r="C40" s="18" t="s">
        <v>62</v>
      </c>
      <c r="D40" s="18" t="s">
        <v>31</v>
      </c>
      <c r="E40" s="18" t="s">
        <v>42</v>
      </c>
      <c r="F40" s="18">
        <v>6</v>
      </c>
      <c r="G40" s="39">
        <v>2236</v>
      </c>
      <c r="H40" s="39">
        <v>13416</v>
      </c>
      <c r="I40" s="18" t="s">
        <v>33</v>
      </c>
    </row>
    <row r="41" spans="1:9" x14ac:dyDescent="0.3">
      <c r="A41" s="18" t="s">
        <v>85</v>
      </c>
      <c r="B41" s="38">
        <v>46306</v>
      </c>
      <c r="C41" s="18" t="s">
        <v>52</v>
      </c>
      <c r="D41" s="18" t="s">
        <v>26</v>
      </c>
      <c r="E41" s="18" t="s">
        <v>32</v>
      </c>
      <c r="F41" s="18">
        <v>3</v>
      </c>
      <c r="G41" s="39">
        <v>5702</v>
      </c>
      <c r="H41" s="39">
        <v>17106</v>
      </c>
      <c r="I41" s="18" t="s">
        <v>28</v>
      </c>
    </row>
    <row r="42" spans="1:9" x14ac:dyDescent="0.3">
      <c r="A42" s="18" t="s">
        <v>86</v>
      </c>
      <c r="B42" s="38">
        <v>46310</v>
      </c>
      <c r="C42" s="18" t="s">
        <v>44</v>
      </c>
      <c r="D42" s="18" t="s">
        <v>38</v>
      </c>
      <c r="E42" s="18" t="s">
        <v>46</v>
      </c>
      <c r="F42" s="18">
        <v>8</v>
      </c>
      <c r="G42" s="39">
        <v>41908</v>
      </c>
      <c r="H42" s="39">
        <v>335264</v>
      </c>
      <c r="I42" s="18" t="s">
        <v>79</v>
      </c>
    </row>
    <row r="43" spans="1:9" x14ac:dyDescent="0.3">
      <c r="A43" s="18" t="s">
        <v>87</v>
      </c>
      <c r="B43" s="38">
        <v>46299</v>
      </c>
      <c r="C43" s="18" t="s">
        <v>30</v>
      </c>
      <c r="D43" s="18" t="s">
        <v>31</v>
      </c>
      <c r="E43" s="18" t="s">
        <v>27</v>
      </c>
      <c r="F43" s="18">
        <v>5</v>
      </c>
      <c r="G43" s="39">
        <v>6840</v>
      </c>
      <c r="H43" s="39">
        <v>34200</v>
      </c>
      <c r="I43" s="18" t="s">
        <v>39</v>
      </c>
    </row>
    <row r="44" spans="1:9" x14ac:dyDescent="0.3">
      <c r="A44" s="18" t="s">
        <v>88</v>
      </c>
      <c r="B44" s="38">
        <v>46298</v>
      </c>
      <c r="C44" s="18" t="s">
        <v>52</v>
      </c>
      <c r="D44" s="18" t="s">
        <v>26</v>
      </c>
      <c r="E44" s="18" t="s">
        <v>49</v>
      </c>
      <c r="F44" s="18">
        <v>3</v>
      </c>
      <c r="G44" s="39">
        <v>2044</v>
      </c>
      <c r="H44" s="39">
        <v>6132</v>
      </c>
      <c r="I44" s="18" t="s">
        <v>39</v>
      </c>
    </row>
    <row r="45" spans="1:9" x14ac:dyDescent="0.3">
      <c r="A45" s="18" t="s">
        <v>89</v>
      </c>
      <c r="B45" s="38">
        <v>46305</v>
      </c>
      <c r="C45" s="18" t="s">
        <v>25</v>
      </c>
      <c r="D45" s="18" t="s">
        <v>31</v>
      </c>
      <c r="E45" s="18" t="s">
        <v>49</v>
      </c>
      <c r="F45" s="18">
        <v>2</v>
      </c>
      <c r="G45" s="39">
        <v>800</v>
      </c>
      <c r="H45" s="39">
        <v>1600</v>
      </c>
      <c r="I45" s="18" t="s">
        <v>33</v>
      </c>
    </row>
    <row r="46" spans="1:9" x14ac:dyDescent="0.3">
      <c r="A46" s="18" t="s">
        <v>90</v>
      </c>
      <c r="B46" s="38">
        <v>46299</v>
      </c>
      <c r="C46" s="18" t="s">
        <v>48</v>
      </c>
      <c r="D46" s="18" t="s">
        <v>26</v>
      </c>
      <c r="E46" s="18" t="s">
        <v>49</v>
      </c>
      <c r="F46" s="18">
        <v>4</v>
      </c>
      <c r="G46" s="39">
        <v>3189</v>
      </c>
      <c r="H46" s="39">
        <v>12756</v>
      </c>
      <c r="I46" s="18" t="s">
        <v>33</v>
      </c>
    </row>
    <row r="47" spans="1:9" x14ac:dyDescent="0.3">
      <c r="A47" s="18" t="s">
        <v>91</v>
      </c>
      <c r="B47" s="38">
        <v>46304</v>
      </c>
      <c r="C47" s="18" t="s">
        <v>56</v>
      </c>
      <c r="D47" s="18" t="s">
        <v>26</v>
      </c>
      <c r="E47" s="18" t="s">
        <v>46</v>
      </c>
      <c r="F47" s="18">
        <v>2</v>
      </c>
      <c r="G47" s="39">
        <v>42768</v>
      </c>
      <c r="H47" s="39">
        <v>85536</v>
      </c>
      <c r="I47" s="18" t="s">
        <v>33</v>
      </c>
    </row>
    <row r="48" spans="1:9" x14ac:dyDescent="0.3">
      <c r="A48" s="18" t="s">
        <v>92</v>
      </c>
      <c r="B48" s="38">
        <v>46304</v>
      </c>
      <c r="C48" s="18" t="s">
        <v>25</v>
      </c>
      <c r="D48" s="18" t="s">
        <v>38</v>
      </c>
      <c r="E48" s="18" t="s">
        <v>49</v>
      </c>
      <c r="F48" s="18">
        <v>3</v>
      </c>
      <c r="G48" s="39">
        <v>2859</v>
      </c>
      <c r="H48" s="39">
        <v>8577</v>
      </c>
      <c r="I48" s="18" t="s">
        <v>79</v>
      </c>
    </row>
    <row r="49" spans="1:9" x14ac:dyDescent="0.3">
      <c r="A49" s="18" t="s">
        <v>93</v>
      </c>
      <c r="B49" s="38">
        <v>46301</v>
      </c>
      <c r="C49" s="18" t="s">
        <v>56</v>
      </c>
      <c r="D49" s="18" t="s">
        <v>31</v>
      </c>
      <c r="E49" s="18" t="s">
        <v>32</v>
      </c>
      <c r="F49" s="18">
        <v>1</v>
      </c>
      <c r="G49" s="39">
        <v>1116</v>
      </c>
      <c r="H49" s="39">
        <v>1116</v>
      </c>
      <c r="I49" s="18" t="s">
        <v>33</v>
      </c>
    </row>
    <row r="50" spans="1:9" x14ac:dyDescent="0.3">
      <c r="A50" s="18" t="s">
        <v>94</v>
      </c>
      <c r="B50" s="38">
        <v>46300</v>
      </c>
      <c r="C50" s="18" t="s">
        <v>25</v>
      </c>
      <c r="D50" s="18" t="s">
        <v>26</v>
      </c>
      <c r="E50" s="18" t="s">
        <v>42</v>
      </c>
      <c r="F50" s="18">
        <v>3</v>
      </c>
      <c r="G50" s="39">
        <v>3620</v>
      </c>
      <c r="H50" s="39">
        <v>10860</v>
      </c>
      <c r="I50" s="18" t="s">
        <v>33</v>
      </c>
    </row>
    <row r="51" spans="1:9" x14ac:dyDescent="0.3">
      <c r="A51" s="18" t="s">
        <v>95</v>
      </c>
      <c r="B51" s="38">
        <v>46305</v>
      </c>
      <c r="C51" s="18" t="s">
        <v>44</v>
      </c>
      <c r="D51" s="18" t="s">
        <v>38</v>
      </c>
      <c r="E51" s="18" t="s">
        <v>49</v>
      </c>
      <c r="F51" s="18">
        <v>4</v>
      </c>
      <c r="G51" s="39">
        <v>3043</v>
      </c>
      <c r="H51" s="39">
        <v>12172</v>
      </c>
      <c r="I51" s="18" t="s">
        <v>33</v>
      </c>
    </row>
    <row r="52" spans="1:9" x14ac:dyDescent="0.3">
      <c r="A52" s="18" t="s">
        <v>96</v>
      </c>
      <c r="B52" s="38">
        <v>46299</v>
      </c>
      <c r="C52" s="18" t="s">
        <v>44</v>
      </c>
      <c r="D52" s="18" t="s">
        <v>31</v>
      </c>
      <c r="E52" s="18" t="s">
        <v>32</v>
      </c>
      <c r="F52" s="18">
        <v>3</v>
      </c>
      <c r="G52" s="39">
        <v>7783</v>
      </c>
      <c r="H52" s="39">
        <v>23349</v>
      </c>
      <c r="I52" s="18" t="s">
        <v>39</v>
      </c>
    </row>
    <row r="53" spans="1:9" x14ac:dyDescent="0.3">
      <c r="A53" s="18" t="s">
        <v>97</v>
      </c>
      <c r="B53" s="38">
        <v>46301</v>
      </c>
      <c r="C53" s="18" t="s">
        <v>48</v>
      </c>
      <c r="D53" s="18" t="s">
        <v>41</v>
      </c>
      <c r="E53" s="18" t="s">
        <v>46</v>
      </c>
      <c r="F53" s="18">
        <v>3</v>
      </c>
      <c r="G53" s="39">
        <v>22970</v>
      </c>
      <c r="H53" s="39">
        <v>68910</v>
      </c>
      <c r="I53" s="18" t="s">
        <v>39</v>
      </c>
    </row>
    <row r="54" spans="1:9" x14ac:dyDescent="0.3">
      <c r="A54" s="18" t="s">
        <v>98</v>
      </c>
      <c r="B54" s="38">
        <v>46309</v>
      </c>
      <c r="C54" s="18" t="s">
        <v>52</v>
      </c>
      <c r="D54" s="18" t="s">
        <v>26</v>
      </c>
      <c r="E54" s="18" t="s">
        <v>27</v>
      </c>
      <c r="F54" s="18">
        <v>2</v>
      </c>
      <c r="G54" s="39">
        <v>15035</v>
      </c>
      <c r="H54" s="39">
        <v>30070</v>
      </c>
      <c r="I54" s="18" t="s">
        <v>39</v>
      </c>
    </row>
    <row r="55" spans="1:9" x14ac:dyDescent="0.3">
      <c r="A55" s="18" t="s">
        <v>99</v>
      </c>
      <c r="B55" s="38">
        <v>46311</v>
      </c>
      <c r="C55" s="18" t="s">
        <v>52</v>
      </c>
      <c r="D55" s="18" t="s">
        <v>36</v>
      </c>
      <c r="E55" s="18" t="s">
        <v>32</v>
      </c>
      <c r="F55" s="18">
        <v>6</v>
      </c>
      <c r="G55" s="39">
        <v>2700</v>
      </c>
      <c r="H55" s="39">
        <v>16200</v>
      </c>
      <c r="I55" s="18" t="s">
        <v>39</v>
      </c>
    </row>
    <row r="56" spans="1:9" x14ac:dyDescent="0.3">
      <c r="A56" s="18" t="s">
        <v>100</v>
      </c>
      <c r="B56" s="38">
        <v>46303</v>
      </c>
      <c r="C56" s="18" t="s">
        <v>52</v>
      </c>
      <c r="D56" s="18" t="s">
        <v>38</v>
      </c>
      <c r="E56" s="18" t="s">
        <v>27</v>
      </c>
      <c r="F56" s="18">
        <v>7</v>
      </c>
      <c r="G56" s="39">
        <v>13256</v>
      </c>
      <c r="H56" s="39">
        <v>92792</v>
      </c>
      <c r="I56" s="18" t="s">
        <v>33</v>
      </c>
    </row>
    <row r="57" spans="1:9" x14ac:dyDescent="0.3">
      <c r="A57" s="18" t="s">
        <v>101</v>
      </c>
      <c r="B57" s="38">
        <v>46298</v>
      </c>
      <c r="C57" s="18" t="s">
        <v>54</v>
      </c>
      <c r="D57" s="18" t="s">
        <v>26</v>
      </c>
      <c r="E57" s="18" t="s">
        <v>42</v>
      </c>
      <c r="F57" s="18">
        <v>7</v>
      </c>
      <c r="G57" s="39">
        <v>4492</v>
      </c>
      <c r="H57" s="39">
        <v>31444</v>
      </c>
      <c r="I57" s="18" t="s">
        <v>33</v>
      </c>
    </row>
    <row r="58" spans="1:9" x14ac:dyDescent="0.3">
      <c r="A58" s="18" t="s">
        <v>102</v>
      </c>
      <c r="B58" s="38">
        <v>46296</v>
      </c>
      <c r="C58" s="18" t="s">
        <v>30</v>
      </c>
      <c r="D58" s="18" t="s">
        <v>26</v>
      </c>
      <c r="E58" s="18" t="s">
        <v>27</v>
      </c>
      <c r="F58" s="18">
        <v>5</v>
      </c>
      <c r="G58" s="39">
        <v>3753</v>
      </c>
      <c r="H58" s="39">
        <v>18765</v>
      </c>
      <c r="I58" s="18" t="s">
        <v>33</v>
      </c>
    </row>
    <row r="59" spans="1:9" x14ac:dyDescent="0.3">
      <c r="A59" s="18" t="s">
        <v>103</v>
      </c>
      <c r="B59" s="38">
        <v>46309</v>
      </c>
      <c r="C59" s="18" t="s">
        <v>44</v>
      </c>
      <c r="D59" s="18" t="s">
        <v>26</v>
      </c>
      <c r="E59" s="18" t="s">
        <v>32</v>
      </c>
      <c r="F59" s="18">
        <v>2</v>
      </c>
      <c r="G59" s="39">
        <v>3355</v>
      </c>
      <c r="H59" s="39">
        <v>6710</v>
      </c>
      <c r="I59" s="18" t="s">
        <v>39</v>
      </c>
    </row>
    <row r="60" spans="1:9" x14ac:dyDescent="0.3">
      <c r="A60" s="18" t="s">
        <v>104</v>
      </c>
      <c r="B60" s="38">
        <v>46302</v>
      </c>
      <c r="C60" s="18" t="s">
        <v>54</v>
      </c>
      <c r="D60" s="18" t="s">
        <v>38</v>
      </c>
      <c r="E60" s="18" t="s">
        <v>32</v>
      </c>
      <c r="F60" s="18">
        <v>1</v>
      </c>
      <c r="G60" s="39">
        <v>4459</v>
      </c>
      <c r="H60" s="39">
        <v>4459</v>
      </c>
      <c r="I60" s="18" t="s">
        <v>39</v>
      </c>
    </row>
    <row r="61" spans="1:9" x14ac:dyDescent="0.3">
      <c r="A61" s="18" t="s">
        <v>105</v>
      </c>
      <c r="B61" s="38">
        <v>46313</v>
      </c>
      <c r="C61" s="18" t="s">
        <v>52</v>
      </c>
      <c r="D61" s="18" t="s">
        <v>26</v>
      </c>
      <c r="E61" s="18" t="s">
        <v>32</v>
      </c>
      <c r="F61" s="18">
        <v>2</v>
      </c>
      <c r="G61" s="39">
        <v>7973</v>
      </c>
      <c r="H61" s="39">
        <v>15946</v>
      </c>
      <c r="I61" s="18" t="s">
        <v>28</v>
      </c>
    </row>
    <row r="62" spans="1:9" x14ac:dyDescent="0.3">
      <c r="A62" s="18" t="s">
        <v>106</v>
      </c>
      <c r="B62" s="38">
        <v>46306</v>
      </c>
      <c r="C62" s="18" t="s">
        <v>44</v>
      </c>
      <c r="D62" s="18" t="s">
        <v>38</v>
      </c>
      <c r="E62" s="18" t="s">
        <v>49</v>
      </c>
      <c r="F62" s="18">
        <v>5</v>
      </c>
      <c r="G62" s="39">
        <v>2981</v>
      </c>
      <c r="H62" s="39">
        <v>14905</v>
      </c>
      <c r="I62" s="18" t="s">
        <v>33</v>
      </c>
    </row>
    <row r="63" spans="1:9" x14ac:dyDescent="0.3">
      <c r="A63" s="18" t="s">
        <v>107</v>
      </c>
      <c r="B63" s="38">
        <v>46308</v>
      </c>
      <c r="C63" s="18" t="s">
        <v>54</v>
      </c>
      <c r="D63" s="18" t="s">
        <v>31</v>
      </c>
      <c r="E63" s="18" t="s">
        <v>27</v>
      </c>
      <c r="F63" s="18">
        <v>4</v>
      </c>
      <c r="G63" s="39">
        <v>16277</v>
      </c>
      <c r="H63" s="39">
        <v>65108</v>
      </c>
      <c r="I63" s="18" t="s">
        <v>28</v>
      </c>
    </row>
    <row r="64" spans="1:9" x14ac:dyDescent="0.3">
      <c r="A64" s="18" t="s">
        <v>108</v>
      </c>
      <c r="B64" s="38">
        <v>46308</v>
      </c>
      <c r="C64" s="18" t="s">
        <v>48</v>
      </c>
      <c r="D64" s="18" t="s">
        <v>31</v>
      </c>
      <c r="E64" s="18" t="s">
        <v>42</v>
      </c>
      <c r="F64" s="18">
        <v>5</v>
      </c>
      <c r="G64" s="39">
        <v>3426</v>
      </c>
      <c r="H64" s="39">
        <v>17130</v>
      </c>
      <c r="I64" s="18" t="s">
        <v>33</v>
      </c>
    </row>
    <row r="65" spans="1:9" x14ac:dyDescent="0.3">
      <c r="A65" s="18" t="s">
        <v>109</v>
      </c>
      <c r="B65" s="38">
        <v>46296</v>
      </c>
      <c r="C65" s="18" t="s">
        <v>54</v>
      </c>
      <c r="D65" s="18" t="s">
        <v>26</v>
      </c>
      <c r="E65" s="18" t="s">
        <v>27</v>
      </c>
      <c r="F65" s="18">
        <v>7</v>
      </c>
      <c r="G65" s="39">
        <v>28247</v>
      </c>
      <c r="H65" s="39">
        <v>197729</v>
      </c>
      <c r="I65" s="18" t="s">
        <v>33</v>
      </c>
    </row>
    <row r="66" spans="1:9" x14ac:dyDescent="0.3">
      <c r="A66" s="18" t="s">
        <v>110</v>
      </c>
      <c r="B66" s="38">
        <v>46306</v>
      </c>
      <c r="C66" s="18" t="s">
        <v>56</v>
      </c>
      <c r="D66" s="18" t="s">
        <v>41</v>
      </c>
      <c r="E66" s="18" t="s">
        <v>32</v>
      </c>
      <c r="F66" s="18">
        <v>4</v>
      </c>
      <c r="G66" s="39">
        <v>4387</v>
      </c>
      <c r="H66" s="39">
        <v>17548</v>
      </c>
      <c r="I66" s="18" t="s">
        <v>33</v>
      </c>
    </row>
    <row r="67" spans="1:9" x14ac:dyDescent="0.3">
      <c r="A67" s="18" t="s">
        <v>111</v>
      </c>
      <c r="B67" s="38">
        <v>46301</v>
      </c>
      <c r="C67" s="18" t="s">
        <v>30</v>
      </c>
      <c r="D67" s="18" t="s">
        <v>26</v>
      </c>
      <c r="E67" s="18" t="s">
        <v>42</v>
      </c>
      <c r="F67" s="18">
        <v>6</v>
      </c>
      <c r="G67" s="39">
        <v>865</v>
      </c>
      <c r="H67" s="39">
        <v>5190</v>
      </c>
      <c r="I67" s="18" t="s">
        <v>39</v>
      </c>
    </row>
    <row r="68" spans="1:9" x14ac:dyDescent="0.3">
      <c r="A68" s="18" t="s">
        <v>112</v>
      </c>
      <c r="B68" s="38">
        <v>46303</v>
      </c>
      <c r="C68" s="18" t="s">
        <v>54</v>
      </c>
      <c r="D68" s="18" t="s">
        <v>36</v>
      </c>
      <c r="E68" s="18" t="s">
        <v>27</v>
      </c>
      <c r="F68" s="18">
        <v>3</v>
      </c>
      <c r="G68" s="39">
        <v>3300</v>
      </c>
      <c r="H68" s="39">
        <v>9900</v>
      </c>
      <c r="I68" s="18" t="s">
        <v>33</v>
      </c>
    </row>
    <row r="69" spans="1:9" x14ac:dyDescent="0.3">
      <c r="A69" s="18" t="s">
        <v>113</v>
      </c>
      <c r="B69" s="38">
        <v>46311</v>
      </c>
      <c r="C69" s="18" t="s">
        <v>30</v>
      </c>
      <c r="D69" s="18" t="s">
        <v>41</v>
      </c>
      <c r="E69" s="18" t="s">
        <v>32</v>
      </c>
      <c r="F69" s="18">
        <v>4</v>
      </c>
      <c r="G69" s="39">
        <v>6084</v>
      </c>
      <c r="H69" s="39">
        <v>24336</v>
      </c>
      <c r="I69" s="18" t="s">
        <v>28</v>
      </c>
    </row>
    <row r="70" spans="1:9" x14ac:dyDescent="0.3">
      <c r="A70" s="18" t="s">
        <v>114</v>
      </c>
      <c r="B70" s="38">
        <v>46311</v>
      </c>
      <c r="C70" s="18" t="s">
        <v>62</v>
      </c>
      <c r="D70" s="18" t="s">
        <v>36</v>
      </c>
      <c r="E70" s="18" t="s">
        <v>27</v>
      </c>
      <c r="F70" s="18">
        <v>1</v>
      </c>
      <c r="G70" s="39">
        <v>27107</v>
      </c>
      <c r="H70" s="39">
        <v>27107</v>
      </c>
      <c r="I70" s="18" t="s">
        <v>39</v>
      </c>
    </row>
    <row r="71" spans="1:9" x14ac:dyDescent="0.3">
      <c r="A71" s="18" t="s">
        <v>115</v>
      </c>
      <c r="B71" s="38">
        <v>46299</v>
      </c>
      <c r="C71" s="18" t="s">
        <v>62</v>
      </c>
      <c r="D71" s="18" t="s">
        <v>36</v>
      </c>
      <c r="E71" s="18" t="s">
        <v>27</v>
      </c>
      <c r="F71" s="18">
        <v>8</v>
      </c>
      <c r="G71" s="39">
        <v>4145</v>
      </c>
      <c r="H71" s="39">
        <v>33160</v>
      </c>
      <c r="I71" s="18" t="s">
        <v>33</v>
      </c>
    </row>
    <row r="72" spans="1:9" x14ac:dyDescent="0.3">
      <c r="A72" s="18" t="s">
        <v>116</v>
      </c>
      <c r="B72" s="38">
        <v>46299</v>
      </c>
      <c r="C72" s="18" t="s">
        <v>56</v>
      </c>
      <c r="D72" s="18" t="s">
        <v>36</v>
      </c>
      <c r="E72" s="18" t="s">
        <v>32</v>
      </c>
      <c r="F72" s="18">
        <v>6</v>
      </c>
      <c r="G72" s="39">
        <v>7982</v>
      </c>
      <c r="H72" s="39">
        <v>47892</v>
      </c>
      <c r="I72" s="18" t="s">
        <v>28</v>
      </c>
    </row>
    <row r="73" spans="1:9" x14ac:dyDescent="0.3">
      <c r="A73" s="18" t="s">
        <v>117</v>
      </c>
      <c r="B73" s="38">
        <v>46310</v>
      </c>
      <c r="C73" s="18" t="s">
        <v>62</v>
      </c>
      <c r="D73" s="18" t="s">
        <v>31</v>
      </c>
      <c r="E73" s="18" t="s">
        <v>32</v>
      </c>
      <c r="F73" s="18">
        <v>3</v>
      </c>
      <c r="G73" s="39">
        <v>6292</v>
      </c>
      <c r="H73" s="39">
        <v>18876</v>
      </c>
      <c r="I73" s="18" t="s">
        <v>39</v>
      </c>
    </row>
    <row r="74" spans="1:9" x14ac:dyDescent="0.3">
      <c r="A74" s="18" t="s">
        <v>118</v>
      </c>
      <c r="B74" s="38">
        <v>46310</v>
      </c>
      <c r="C74" s="18" t="s">
        <v>54</v>
      </c>
      <c r="D74" s="18" t="s">
        <v>36</v>
      </c>
      <c r="E74" s="18" t="s">
        <v>49</v>
      </c>
      <c r="F74" s="18">
        <v>8</v>
      </c>
      <c r="G74" s="39">
        <v>2817</v>
      </c>
      <c r="H74" s="39">
        <v>22536</v>
      </c>
      <c r="I74" s="18" t="s">
        <v>33</v>
      </c>
    </row>
    <row r="75" spans="1:9" x14ac:dyDescent="0.3">
      <c r="A75" s="18" t="s">
        <v>119</v>
      </c>
      <c r="B75" s="38">
        <v>46310</v>
      </c>
      <c r="C75" s="18" t="s">
        <v>30</v>
      </c>
      <c r="D75" s="18" t="s">
        <v>26</v>
      </c>
      <c r="E75" s="18" t="s">
        <v>27</v>
      </c>
      <c r="F75" s="18">
        <v>5</v>
      </c>
      <c r="G75" s="39">
        <v>13505</v>
      </c>
      <c r="H75" s="39">
        <v>67525</v>
      </c>
      <c r="I75" s="18" t="s">
        <v>33</v>
      </c>
    </row>
    <row r="76" spans="1:9" x14ac:dyDescent="0.3">
      <c r="A76" s="18" t="s">
        <v>120</v>
      </c>
      <c r="B76" s="38">
        <v>46313</v>
      </c>
      <c r="C76" s="18" t="s">
        <v>30</v>
      </c>
      <c r="D76" s="18" t="s">
        <v>36</v>
      </c>
      <c r="E76" s="18" t="s">
        <v>27</v>
      </c>
      <c r="F76" s="18">
        <v>4</v>
      </c>
      <c r="G76" s="39">
        <v>15051</v>
      </c>
      <c r="H76" s="39">
        <v>60204</v>
      </c>
      <c r="I76" s="18" t="s">
        <v>28</v>
      </c>
    </row>
    <row r="77" spans="1:9" x14ac:dyDescent="0.3">
      <c r="A77" s="18" t="s">
        <v>121</v>
      </c>
      <c r="B77" s="38">
        <v>46302</v>
      </c>
      <c r="C77" s="18" t="s">
        <v>30</v>
      </c>
      <c r="D77" s="18" t="s">
        <v>41</v>
      </c>
      <c r="E77" s="18" t="s">
        <v>32</v>
      </c>
      <c r="F77" s="18">
        <v>6</v>
      </c>
      <c r="G77" s="39">
        <v>4645</v>
      </c>
      <c r="H77" s="39">
        <v>27870</v>
      </c>
      <c r="I77" s="18" t="s">
        <v>33</v>
      </c>
    </row>
    <row r="78" spans="1:9" x14ac:dyDescent="0.3">
      <c r="A78" s="18" t="s">
        <v>122</v>
      </c>
      <c r="B78" s="38">
        <v>46297</v>
      </c>
      <c r="C78" s="18" t="s">
        <v>52</v>
      </c>
      <c r="D78" s="18" t="s">
        <v>41</v>
      </c>
      <c r="E78" s="18" t="s">
        <v>32</v>
      </c>
      <c r="F78" s="18">
        <v>1</v>
      </c>
      <c r="G78" s="39">
        <v>7218</v>
      </c>
      <c r="H78" s="39">
        <v>7218</v>
      </c>
      <c r="I78" s="18" t="s">
        <v>39</v>
      </c>
    </row>
    <row r="79" spans="1:9" x14ac:dyDescent="0.3">
      <c r="A79" s="18" t="s">
        <v>123</v>
      </c>
      <c r="B79" s="38">
        <v>46308</v>
      </c>
      <c r="C79" s="18" t="s">
        <v>56</v>
      </c>
      <c r="D79" s="18" t="s">
        <v>38</v>
      </c>
      <c r="E79" s="18" t="s">
        <v>49</v>
      </c>
      <c r="F79" s="18">
        <v>5</v>
      </c>
      <c r="G79" s="39">
        <v>3336</v>
      </c>
      <c r="H79" s="39">
        <v>16680</v>
      </c>
      <c r="I79" s="18" t="s">
        <v>33</v>
      </c>
    </row>
    <row r="80" spans="1:9" x14ac:dyDescent="0.3">
      <c r="A80" s="18" t="s">
        <v>124</v>
      </c>
      <c r="B80" s="38">
        <v>46309</v>
      </c>
      <c r="C80" s="18" t="s">
        <v>52</v>
      </c>
      <c r="D80" s="18" t="s">
        <v>41</v>
      </c>
      <c r="E80" s="18" t="s">
        <v>27</v>
      </c>
      <c r="F80" s="18">
        <v>5</v>
      </c>
      <c r="G80" s="39">
        <v>16781</v>
      </c>
      <c r="H80" s="39">
        <v>83905</v>
      </c>
      <c r="I80" s="18" t="s">
        <v>33</v>
      </c>
    </row>
    <row r="81" spans="1:9" x14ac:dyDescent="0.3">
      <c r="A81" s="18" t="s">
        <v>125</v>
      </c>
      <c r="B81" s="38">
        <v>46308</v>
      </c>
      <c r="C81" s="18" t="s">
        <v>44</v>
      </c>
      <c r="D81" s="18" t="s">
        <v>41</v>
      </c>
      <c r="E81" s="18" t="s">
        <v>27</v>
      </c>
      <c r="F81" s="18">
        <v>8</v>
      </c>
      <c r="G81" s="39">
        <v>6682</v>
      </c>
      <c r="H81" s="39">
        <v>53456</v>
      </c>
      <c r="I81" s="18" t="s">
        <v>79</v>
      </c>
    </row>
    <row r="82" spans="1:9" x14ac:dyDescent="0.3">
      <c r="A82" s="18" t="s">
        <v>126</v>
      </c>
      <c r="B82" s="38">
        <v>46313</v>
      </c>
      <c r="C82" s="18" t="s">
        <v>25</v>
      </c>
      <c r="D82" s="18" t="s">
        <v>41</v>
      </c>
      <c r="E82" s="18" t="s">
        <v>42</v>
      </c>
      <c r="F82" s="18">
        <v>1</v>
      </c>
      <c r="G82" s="39">
        <v>787</v>
      </c>
      <c r="H82" s="39">
        <v>787</v>
      </c>
      <c r="I82" s="18" t="s">
        <v>28</v>
      </c>
    </row>
    <row r="83" spans="1:9" x14ac:dyDescent="0.3">
      <c r="A83" s="18" t="s">
        <v>127</v>
      </c>
      <c r="B83" s="38">
        <v>46300</v>
      </c>
      <c r="C83" s="18" t="s">
        <v>56</v>
      </c>
      <c r="D83" s="18" t="s">
        <v>36</v>
      </c>
      <c r="E83" s="18" t="s">
        <v>46</v>
      </c>
      <c r="F83" s="18">
        <v>5</v>
      </c>
      <c r="G83" s="39">
        <v>26044</v>
      </c>
      <c r="H83" s="39">
        <v>130220</v>
      </c>
      <c r="I83" s="18" t="s">
        <v>33</v>
      </c>
    </row>
    <row r="84" spans="1:9" x14ac:dyDescent="0.3">
      <c r="A84" s="18" t="s">
        <v>128</v>
      </c>
      <c r="B84" s="38">
        <v>46310</v>
      </c>
      <c r="C84" s="18" t="s">
        <v>44</v>
      </c>
      <c r="D84" s="18" t="s">
        <v>26</v>
      </c>
      <c r="E84" s="18" t="s">
        <v>32</v>
      </c>
      <c r="F84" s="18">
        <v>5</v>
      </c>
      <c r="G84" s="39">
        <v>6360</v>
      </c>
      <c r="H84" s="39">
        <v>31800</v>
      </c>
      <c r="I84" s="18" t="s">
        <v>79</v>
      </c>
    </row>
    <row r="85" spans="1:9" x14ac:dyDescent="0.3">
      <c r="A85" s="18" t="s">
        <v>129</v>
      </c>
      <c r="B85" s="38">
        <v>46309</v>
      </c>
      <c r="C85" s="18" t="s">
        <v>54</v>
      </c>
      <c r="D85" s="18" t="s">
        <v>38</v>
      </c>
      <c r="E85" s="18" t="s">
        <v>32</v>
      </c>
      <c r="F85" s="18">
        <v>1</v>
      </c>
      <c r="G85" s="39">
        <v>6336</v>
      </c>
      <c r="H85" s="39">
        <v>6336</v>
      </c>
      <c r="I85" s="18" t="s">
        <v>33</v>
      </c>
    </row>
    <row r="86" spans="1:9" x14ac:dyDescent="0.3">
      <c r="A86" s="18" t="s">
        <v>130</v>
      </c>
      <c r="B86" s="38">
        <v>46307</v>
      </c>
      <c r="C86" s="18" t="s">
        <v>52</v>
      </c>
      <c r="D86" s="18" t="s">
        <v>38</v>
      </c>
      <c r="E86" s="18" t="s">
        <v>46</v>
      </c>
      <c r="F86" s="18">
        <v>1</v>
      </c>
      <c r="G86" s="39">
        <v>17405</v>
      </c>
      <c r="H86" s="39">
        <v>17405</v>
      </c>
      <c r="I86" s="18" t="s">
        <v>33</v>
      </c>
    </row>
    <row r="87" spans="1:9" x14ac:dyDescent="0.3">
      <c r="A87" s="18" t="s">
        <v>131</v>
      </c>
      <c r="B87" s="38">
        <v>46296</v>
      </c>
      <c r="C87" s="18" t="s">
        <v>48</v>
      </c>
      <c r="D87" s="18" t="s">
        <v>36</v>
      </c>
      <c r="E87" s="18" t="s">
        <v>27</v>
      </c>
      <c r="F87" s="18">
        <v>8</v>
      </c>
      <c r="G87" s="39">
        <v>24436</v>
      </c>
      <c r="H87" s="39">
        <v>195488</v>
      </c>
      <c r="I87" s="18" t="s">
        <v>33</v>
      </c>
    </row>
    <row r="88" spans="1:9" x14ac:dyDescent="0.3">
      <c r="A88" s="18" t="s">
        <v>132</v>
      </c>
      <c r="B88" s="38">
        <v>46302</v>
      </c>
      <c r="C88" s="18" t="s">
        <v>56</v>
      </c>
      <c r="D88" s="18" t="s">
        <v>26</v>
      </c>
      <c r="E88" s="18" t="s">
        <v>49</v>
      </c>
      <c r="F88" s="18">
        <v>3</v>
      </c>
      <c r="G88" s="39">
        <v>2731</v>
      </c>
      <c r="H88" s="39">
        <v>8193</v>
      </c>
      <c r="I88" s="18" t="s">
        <v>33</v>
      </c>
    </row>
    <row r="89" spans="1:9" x14ac:dyDescent="0.3">
      <c r="A89" s="18" t="s">
        <v>133</v>
      </c>
      <c r="B89" s="38">
        <v>46299</v>
      </c>
      <c r="C89" s="18" t="s">
        <v>48</v>
      </c>
      <c r="D89" s="18" t="s">
        <v>26</v>
      </c>
      <c r="E89" s="18" t="s">
        <v>46</v>
      </c>
      <c r="F89" s="18">
        <v>1</v>
      </c>
      <c r="G89" s="39">
        <v>21644</v>
      </c>
      <c r="H89" s="39">
        <v>21644</v>
      </c>
      <c r="I89" s="18" t="s">
        <v>33</v>
      </c>
    </row>
    <row r="90" spans="1:9" x14ac:dyDescent="0.3">
      <c r="A90" s="18" t="s">
        <v>134</v>
      </c>
      <c r="B90" s="38">
        <v>46308</v>
      </c>
      <c r="C90" s="18" t="s">
        <v>62</v>
      </c>
      <c r="D90" s="18" t="s">
        <v>36</v>
      </c>
      <c r="E90" s="18" t="s">
        <v>46</v>
      </c>
      <c r="F90" s="18">
        <v>4</v>
      </c>
      <c r="G90" s="39">
        <v>7878</v>
      </c>
      <c r="H90" s="39">
        <v>31512</v>
      </c>
      <c r="I90" s="18" t="s">
        <v>28</v>
      </c>
    </row>
    <row r="91" spans="1:9" x14ac:dyDescent="0.3">
      <c r="A91" s="18" t="s">
        <v>135</v>
      </c>
      <c r="B91" s="38">
        <v>46305</v>
      </c>
      <c r="C91" s="18" t="s">
        <v>30</v>
      </c>
      <c r="D91" s="18" t="s">
        <v>31</v>
      </c>
      <c r="E91" s="18" t="s">
        <v>46</v>
      </c>
      <c r="F91" s="18">
        <v>6</v>
      </c>
      <c r="G91" s="39">
        <v>36113</v>
      </c>
      <c r="H91" s="39">
        <v>216678</v>
      </c>
      <c r="I91" s="18" t="s">
        <v>33</v>
      </c>
    </row>
    <row r="92" spans="1:9" x14ac:dyDescent="0.3">
      <c r="A92" s="18" t="s">
        <v>136</v>
      </c>
      <c r="B92" s="38">
        <v>46307</v>
      </c>
      <c r="C92" s="18" t="s">
        <v>30</v>
      </c>
      <c r="D92" s="18" t="s">
        <v>31</v>
      </c>
      <c r="E92" s="18" t="s">
        <v>49</v>
      </c>
      <c r="F92" s="18">
        <v>1</v>
      </c>
      <c r="G92" s="39">
        <v>1970</v>
      </c>
      <c r="H92" s="39">
        <v>1970</v>
      </c>
      <c r="I92" s="18" t="s">
        <v>39</v>
      </c>
    </row>
    <row r="93" spans="1:9" x14ac:dyDescent="0.3">
      <c r="A93" s="18" t="s">
        <v>137</v>
      </c>
      <c r="B93" s="38">
        <v>46299</v>
      </c>
      <c r="C93" s="18" t="s">
        <v>62</v>
      </c>
      <c r="D93" s="18" t="s">
        <v>26</v>
      </c>
      <c r="E93" s="18" t="s">
        <v>32</v>
      </c>
      <c r="F93" s="18">
        <v>3</v>
      </c>
      <c r="G93" s="39">
        <v>3767</v>
      </c>
      <c r="H93" s="39">
        <v>11301</v>
      </c>
      <c r="I93" s="18" t="s">
        <v>33</v>
      </c>
    </row>
    <row r="94" spans="1:9" x14ac:dyDescent="0.3">
      <c r="A94" s="18" t="s">
        <v>138</v>
      </c>
      <c r="B94" s="38">
        <v>46312</v>
      </c>
      <c r="C94" s="18" t="s">
        <v>54</v>
      </c>
      <c r="D94" s="18" t="s">
        <v>31</v>
      </c>
      <c r="E94" s="18" t="s">
        <v>42</v>
      </c>
      <c r="F94" s="18">
        <v>8</v>
      </c>
      <c r="G94" s="39">
        <v>3908</v>
      </c>
      <c r="H94" s="39">
        <v>31264</v>
      </c>
      <c r="I94" s="18" t="s">
        <v>33</v>
      </c>
    </row>
    <row r="95" spans="1:9" x14ac:dyDescent="0.3">
      <c r="A95" s="18" t="s">
        <v>139</v>
      </c>
      <c r="B95" s="38">
        <v>46304</v>
      </c>
      <c r="C95" s="18" t="s">
        <v>44</v>
      </c>
      <c r="D95" s="18" t="s">
        <v>36</v>
      </c>
      <c r="E95" s="18" t="s">
        <v>46</v>
      </c>
      <c r="F95" s="18">
        <v>5</v>
      </c>
      <c r="G95" s="39">
        <v>30743</v>
      </c>
      <c r="H95" s="39">
        <v>153715</v>
      </c>
      <c r="I95" s="18" t="s">
        <v>33</v>
      </c>
    </row>
    <row r="96" spans="1:9" x14ac:dyDescent="0.3">
      <c r="A96" s="18" t="s">
        <v>140</v>
      </c>
      <c r="B96" s="38">
        <v>46310</v>
      </c>
      <c r="C96" s="18" t="s">
        <v>62</v>
      </c>
      <c r="D96" s="18" t="s">
        <v>26</v>
      </c>
      <c r="E96" s="18" t="s">
        <v>46</v>
      </c>
      <c r="F96" s="18">
        <v>8</v>
      </c>
      <c r="G96" s="39">
        <v>22500</v>
      </c>
      <c r="H96" s="39">
        <v>180000</v>
      </c>
      <c r="I96" s="18" t="s">
        <v>33</v>
      </c>
    </row>
    <row r="97" spans="1:9" x14ac:dyDescent="0.3">
      <c r="A97" s="18" t="s">
        <v>141</v>
      </c>
      <c r="B97" s="38">
        <v>46302</v>
      </c>
      <c r="C97" s="18" t="s">
        <v>44</v>
      </c>
      <c r="D97" s="18" t="s">
        <v>26</v>
      </c>
      <c r="E97" s="18" t="s">
        <v>49</v>
      </c>
      <c r="F97" s="18">
        <v>5</v>
      </c>
      <c r="G97" s="39">
        <v>2691</v>
      </c>
      <c r="H97" s="39">
        <v>13455</v>
      </c>
      <c r="I97" s="18" t="s">
        <v>28</v>
      </c>
    </row>
    <row r="98" spans="1:9" x14ac:dyDescent="0.3">
      <c r="A98" s="18" t="s">
        <v>142</v>
      </c>
      <c r="B98" s="38">
        <v>46304</v>
      </c>
      <c r="C98" s="18" t="s">
        <v>25</v>
      </c>
      <c r="D98" s="18" t="s">
        <v>31</v>
      </c>
      <c r="E98" s="18" t="s">
        <v>27</v>
      </c>
      <c r="F98" s="18">
        <v>2</v>
      </c>
      <c r="G98" s="39">
        <v>10408</v>
      </c>
      <c r="H98" s="39">
        <v>20816</v>
      </c>
      <c r="I98" s="18" t="s">
        <v>28</v>
      </c>
    </row>
    <row r="99" spans="1:9" x14ac:dyDescent="0.3">
      <c r="A99" s="18" t="s">
        <v>143</v>
      </c>
      <c r="B99" s="38">
        <v>46311</v>
      </c>
      <c r="C99" s="18" t="s">
        <v>52</v>
      </c>
      <c r="D99" s="18" t="s">
        <v>41</v>
      </c>
      <c r="E99" s="18" t="s">
        <v>32</v>
      </c>
      <c r="F99" s="18">
        <v>8</v>
      </c>
      <c r="G99" s="39">
        <v>6695</v>
      </c>
      <c r="H99" s="39">
        <v>53560</v>
      </c>
      <c r="I99" s="18" t="s">
        <v>33</v>
      </c>
    </row>
    <row r="100" spans="1:9" x14ac:dyDescent="0.3">
      <c r="A100" s="18" t="s">
        <v>144</v>
      </c>
      <c r="B100" s="38">
        <v>46305</v>
      </c>
      <c r="C100" s="18" t="s">
        <v>52</v>
      </c>
      <c r="D100" s="18" t="s">
        <v>41</v>
      </c>
      <c r="E100" s="18" t="s">
        <v>27</v>
      </c>
      <c r="F100" s="18">
        <v>5</v>
      </c>
      <c r="G100" s="39">
        <v>24256</v>
      </c>
      <c r="H100" s="39">
        <v>121280</v>
      </c>
      <c r="I100" s="18" t="s">
        <v>33</v>
      </c>
    </row>
    <row r="101" spans="1:9" x14ac:dyDescent="0.3">
      <c r="A101" s="18" t="s">
        <v>145</v>
      </c>
      <c r="B101" s="38">
        <v>46311</v>
      </c>
      <c r="C101" s="18" t="s">
        <v>44</v>
      </c>
      <c r="D101" s="18" t="s">
        <v>41</v>
      </c>
      <c r="E101" s="18" t="s">
        <v>42</v>
      </c>
      <c r="F101" s="18">
        <v>6</v>
      </c>
      <c r="G101" s="39">
        <v>2982</v>
      </c>
      <c r="H101" s="39">
        <v>17892</v>
      </c>
      <c r="I101" s="18" t="s">
        <v>28</v>
      </c>
    </row>
    <row r="102" spans="1:9" x14ac:dyDescent="0.3">
      <c r="A102" s="18" t="s">
        <v>146</v>
      </c>
      <c r="B102" s="38">
        <v>46304</v>
      </c>
      <c r="C102" s="18" t="s">
        <v>54</v>
      </c>
      <c r="D102" s="18" t="s">
        <v>26</v>
      </c>
      <c r="E102" s="18" t="s">
        <v>27</v>
      </c>
      <c r="F102" s="18">
        <v>2</v>
      </c>
      <c r="G102" s="39">
        <v>26135</v>
      </c>
      <c r="H102" s="39">
        <v>52270</v>
      </c>
      <c r="I102" s="18" t="s">
        <v>33</v>
      </c>
    </row>
    <row r="103" spans="1:9" x14ac:dyDescent="0.3">
      <c r="A103" s="18" t="s">
        <v>147</v>
      </c>
      <c r="B103" s="38">
        <v>46299</v>
      </c>
      <c r="C103" s="18" t="s">
        <v>48</v>
      </c>
      <c r="D103" s="18" t="s">
        <v>36</v>
      </c>
      <c r="E103" s="18" t="s">
        <v>27</v>
      </c>
      <c r="F103" s="18">
        <v>8</v>
      </c>
      <c r="G103" s="39">
        <v>11560</v>
      </c>
      <c r="H103" s="39">
        <v>92480</v>
      </c>
      <c r="I103" s="18" t="s">
        <v>28</v>
      </c>
    </row>
    <row r="104" spans="1:9" x14ac:dyDescent="0.3">
      <c r="A104" s="18" t="s">
        <v>148</v>
      </c>
      <c r="B104" s="38">
        <v>46312</v>
      </c>
      <c r="C104" s="18" t="s">
        <v>54</v>
      </c>
      <c r="D104" s="18" t="s">
        <v>38</v>
      </c>
      <c r="E104" s="18" t="s">
        <v>27</v>
      </c>
      <c r="F104" s="18">
        <v>5</v>
      </c>
      <c r="G104" s="39">
        <v>9954</v>
      </c>
      <c r="H104" s="39">
        <v>49770</v>
      </c>
      <c r="I104" s="18" t="s">
        <v>33</v>
      </c>
    </row>
    <row r="105" spans="1:9" x14ac:dyDescent="0.3">
      <c r="A105" s="18" t="s">
        <v>149</v>
      </c>
      <c r="B105" s="38">
        <v>46305</v>
      </c>
      <c r="C105" s="18" t="s">
        <v>25</v>
      </c>
      <c r="D105" s="18" t="s">
        <v>31</v>
      </c>
      <c r="E105" s="18" t="s">
        <v>27</v>
      </c>
      <c r="F105" s="18">
        <v>5</v>
      </c>
      <c r="G105" s="39">
        <v>3991</v>
      </c>
      <c r="H105" s="39">
        <v>19955</v>
      </c>
      <c r="I105" s="18" t="s">
        <v>79</v>
      </c>
    </row>
    <row r="106" spans="1:9" x14ac:dyDescent="0.3">
      <c r="A106" s="18" t="s">
        <v>150</v>
      </c>
      <c r="B106" s="38">
        <v>46313</v>
      </c>
      <c r="C106" s="18" t="s">
        <v>54</v>
      </c>
      <c r="D106" s="18" t="s">
        <v>36</v>
      </c>
      <c r="E106" s="18" t="s">
        <v>32</v>
      </c>
      <c r="F106" s="18">
        <v>2</v>
      </c>
      <c r="G106" s="39">
        <v>7349</v>
      </c>
      <c r="H106" s="39">
        <v>14698</v>
      </c>
      <c r="I106" s="18" t="s">
        <v>33</v>
      </c>
    </row>
    <row r="107" spans="1:9" x14ac:dyDescent="0.3">
      <c r="A107" s="18" t="s">
        <v>151</v>
      </c>
      <c r="B107" s="38">
        <v>46305</v>
      </c>
      <c r="C107" s="18" t="s">
        <v>56</v>
      </c>
      <c r="D107" s="18" t="s">
        <v>41</v>
      </c>
      <c r="E107" s="18" t="s">
        <v>32</v>
      </c>
      <c r="F107" s="18">
        <v>6</v>
      </c>
      <c r="G107" s="39">
        <v>1710</v>
      </c>
      <c r="H107" s="39">
        <v>10260</v>
      </c>
      <c r="I107" s="18" t="s">
        <v>79</v>
      </c>
    </row>
    <row r="108" spans="1:9" x14ac:dyDescent="0.3">
      <c r="A108" s="18" t="s">
        <v>152</v>
      </c>
      <c r="B108" s="38">
        <v>46304</v>
      </c>
      <c r="C108" s="18" t="s">
        <v>56</v>
      </c>
      <c r="D108" s="18" t="s">
        <v>38</v>
      </c>
      <c r="E108" s="18" t="s">
        <v>46</v>
      </c>
      <c r="F108" s="18">
        <v>7</v>
      </c>
      <c r="G108" s="39">
        <v>33427</v>
      </c>
      <c r="H108" s="39">
        <v>233989</v>
      </c>
      <c r="I108" s="18" t="s">
        <v>33</v>
      </c>
    </row>
    <row r="109" spans="1:9" x14ac:dyDescent="0.3">
      <c r="A109" s="18" t="s">
        <v>153</v>
      </c>
      <c r="B109" s="38">
        <v>46297</v>
      </c>
      <c r="C109" s="18" t="s">
        <v>48</v>
      </c>
      <c r="D109" s="18" t="s">
        <v>36</v>
      </c>
      <c r="E109" s="18" t="s">
        <v>42</v>
      </c>
      <c r="F109" s="18">
        <v>5</v>
      </c>
      <c r="G109" s="39">
        <v>797</v>
      </c>
      <c r="H109" s="39">
        <v>3985</v>
      </c>
      <c r="I109" s="18" t="s">
        <v>79</v>
      </c>
    </row>
    <row r="110" spans="1:9" x14ac:dyDescent="0.3">
      <c r="A110" s="18" t="s">
        <v>154</v>
      </c>
      <c r="B110" s="38">
        <v>46299</v>
      </c>
      <c r="C110" s="18" t="s">
        <v>62</v>
      </c>
      <c r="D110" s="18" t="s">
        <v>31</v>
      </c>
      <c r="E110" s="18" t="s">
        <v>42</v>
      </c>
      <c r="F110" s="18">
        <v>4</v>
      </c>
      <c r="G110" s="39">
        <v>4380</v>
      </c>
      <c r="H110" s="39">
        <v>17520</v>
      </c>
      <c r="I110" s="18" t="s">
        <v>33</v>
      </c>
    </row>
    <row r="111" spans="1:9" x14ac:dyDescent="0.3">
      <c r="A111" s="18" t="s">
        <v>155</v>
      </c>
      <c r="B111" s="38">
        <v>46310</v>
      </c>
      <c r="C111" s="18" t="s">
        <v>54</v>
      </c>
      <c r="D111" s="18" t="s">
        <v>31</v>
      </c>
      <c r="E111" s="18" t="s">
        <v>32</v>
      </c>
      <c r="F111" s="18">
        <v>5</v>
      </c>
      <c r="G111" s="39">
        <v>4858</v>
      </c>
      <c r="H111" s="39">
        <v>24290</v>
      </c>
      <c r="I111" s="18" t="s">
        <v>28</v>
      </c>
    </row>
    <row r="112" spans="1:9" x14ac:dyDescent="0.3">
      <c r="A112" s="18" t="s">
        <v>156</v>
      </c>
      <c r="B112" s="38">
        <v>46299</v>
      </c>
      <c r="C112" s="18" t="s">
        <v>52</v>
      </c>
      <c r="D112" s="18" t="s">
        <v>36</v>
      </c>
      <c r="E112" s="18" t="s">
        <v>49</v>
      </c>
      <c r="F112" s="18">
        <v>2</v>
      </c>
      <c r="G112" s="39">
        <v>893</v>
      </c>
      <c r="H112" s="39">
        <v>1786</v>
      </c>
      <c r="I112" s="18" t="s">
        <v>33</v>
      </c>
    </row>
    <row r="113" spans="1:9" x14ac:dyDescent="0.3">
      <c r="A113" s="18" t="s">
        <v>157</v>
      </c>
      <c r="B113" s="38">
        <v>46313</v>
      </c>
      <c r="C113" s="18" t="s">
        <v>30</v>
      </c>
      <c r="D113" s="18" t="s">
        <v>36</v>
      </c>
      <c r="E113" s="18" t="s">
        <v>46</v>
      </c>
      <c r="F113" s="18">
        <v>7</v>
      </c>
      <c r="G113" s="39">
        <v>30724</v>
      </c>
      <c r="H113" s="39">
        <v>215068</v>
      </c>
      <c r="I113" s="18" t="s">
        <v>28</v>
      </c>
    </row>
    <row r="114" spans="1:9" x14ac:dyDescent="0.3">
      <c r="A114" s="18" t="s">
        <v>158</v>
      </c>
      <c r="B114" s="38">
        <v>46311</v>
      </c>
      <c r="C114" s="18" t="s">
        <v>54</v>
      </c>
      <c r="D114" s="18" t="s">
        <v>38</v>
      </c>
      <c r="E114" s="18" t="s">
        <v>27</v>
      </c>
      <c r="F114" s="18">
        <v>5</v>
      </c>
      <c r="G114" s="39">
        <v>25665</v>
      </c>
      <c r="H114" s="39">
        <v>128325</v>
      </c>
      <c r="I114" s="18" t="s">
        <v>33</v>
      </c>
    </row>
    <row r="115" spans="1:9" x14ac:dyDescent="0.3">
      <c r="A115" s="18" t="s">
        <v>159</v>
      </c>
      <c r="B115" s="38">
        <v>46310</v>
      </c>
      <c r="C115" s="18" t="s">
        <v>30</v>
      </c>
      <c r="D115" s="18" t="s">
        <v>36</v>
      </c>
      <c r="E115" s="18" t="s">
        <v>49</v>
      </c>
      <c r="F115" s="18">
        <v>4</v>
      </c>
      <c r="G115" s="39">
        <v>1991</v>
      </c>
      <c r="H115" s="39">
        <v>7964</v>
      </c>
      <c r="I115" s="18" t="s">
        <v>33</v>
      </c>
    </row>
    <row r="116" spans="1:9" x14ac:dyDescent="0.3">
      <c r="A116" s="18" t="s">
        <v>160</v>
      </c>
      <c r="B116" s="38">
        <v>46303</v>
      </c>
      <c r="C116" s="18" t="s">
        <v>48</v>
      </c>
      <c r="D116" s="18" t="s">
        <v>26</v>
      </c>
      <c r="E116" s="18" t="s">
        <v>27</v>
      </c>
      <c r="F116" s="18">
        <v>2</v>
      </c>
      <c r="G116" s="39">
        <v>4454</v>
      </c>
      <c r="H116" s="39">
        <v>8908</v>
      </c>
      <c r="I116" s="18" t="s">
        <v>33</v>
      </c>
    </row>
    <row r="117" spans="1:9" x14ac:dyDescent="0.3">
      <c r="A117" s="18" t="s">
        <v>161</v>
      </c>
      <c r="B117" s="38">
        <v>46305</v>
      </c>
      <c r="C117" s="18" t="s">
        <v>54</v>
      </c>
      <c r="D117" s="18" t="s">
        <v>41</v>
      </c>
      <c r="E117" s="18" t="s">
        <v>46</v>
      </c>
      <c r="F117" s="18">
        <v>8</v>
      </c>
      <c r="G117" s="39">
        <v>21128</v>
      </c>
      <c r="H117" s="39">
        <v>169024</v>
      </c>
      <c r="I117" s="18" t="s">
        <v>28</v>
      </c>
    </row>
    <row r="118" spans="1:9" x14ac:dyDescent="0.3">
      <c r="A118" s="18" t="s">
        <v>162</v>
      </c>
      <c r="B118" s="38">
        <v>46304</v>
      </c>
      <c r="C118" s="18" t="s">
        <v>56</v>
      </c>
      <c r="D118" s="18" t="s">
        <v>41</v>
      </c>
      <c r="E118" s="18" t="s">
        <v>46</v>
      </c>
      <c r="F118" s="18">
        <v>1</v>
      </c>
      <c r="G118" s="39">
        <v>29513</v>
      </c>
      <c r="H118" s="39">
        <v>29513</v>
      </c>
      <c r="I118" s="18" t="s">
        <v>28</v>
      </c>
    </row>
    <row r="119" spans="1:9" x14ac:dyDescent="0.3">
      <c r="A119" s="18" t="s">
        <v>163</v>
      </c>
      <c r="B119" s="38">
        <v>46304</v>
      </c>
      <c r="C119" s="18" t="s">
        <v>25</v>
      </c>
      <c r="D119" s="18" t="s">
        <v>38</v>
      </c>
      <c r="E119" s="18" t="s">
        <v>27</v>
      </c>
      <c r="F119" s="18">
        <v>1</v>
      </c>
      <c r="G119" s="39">
        <v>27559</v>
      </c>
      <c r="H119" s="39">
        <v>27559</v>
      </c>
      <c r="I119" s="18" t="s">
        <v>28</v>
      </c>
    </row>
    <row r="120" spans="1:9" x14ac:dyDescent="0.3">
      <c r="A120" s="18" t="s">
        <v>164</v>
      </c>
      <c r="B120" s="38">
        <v>46304</v>
      </c>
      <c r="C120" s="18" t="s">
        <v>25</v>
      </c>
      <c r="D120" s="18" t="s">
        <v>36</v>
      </c>
      <c r="E120" s="18" t="s">
        <v>32</v>
      </c>
      <c r="F120" s="18">
        <v>8</v>
      </c>
      <c r="G120" s="39">
        <v>7704</v>
      </c>
      <c r="H120" s="39">
        <v>61632</v>
      </c>
      <c r="I120" s="18" t="s">
        <v>33</v>
      </c>
    </row>
    <row r="121" spans="1:9" x14ac:dyDescent="0.3">
      <c r="A121" s="18" t="s">
        <v>165</v>
      </c>
      <c r="B121" s="38">
        <v>46309</v>
      </c>
      <c r="C121" s="18" t="s">
        <v>56</v>
      </c>
      <c r="D121" s="18" t="s">
        <v>38</v>
      </c>
      <c r="E121" s="18" t="s">
        <v>32</v>
      </c>
      <c r="F121" s="18">
        <v>6</v>
      </c>
      <c r="G121" s="39">
        <v>3545</v>
      </c>
      <c r="H121" s="39">
        <v>21270</v>
      </c>
      <c r="I121" s="18" t="s">
        <v>33</v>
      </c>
    </row>
    <row r="122" spans="1:9" x14ac:dyDescent="0.3">
      <c r="A122" s="18" t="s">
        <v>166</v>
      </c>
      <c r="B122" s="38">
        <v>46299</v>
      </c>
      <c r="C122" s="18" t="s">
        <v>48</v>
      </c>
      <c r="D122" s="18" t="s">
        <v>26</v>
      </c>
      <c r="E122" s="18" t="s">
        <v>32</v>
      </c>
      <c r="F122" s="18">
        <v>8</v>
      </c>
      <c r="G122" s="39">
        <v>2561</v>
      </c>
      <c r="H122" s="39">
        <v>20488</v>
      </c>
      <c r="I122" s="18" t="s">
        <v>28</v>
      </c>
    </row>
    <row r="123" spans="1:9" x14ac:dyDescent="0.3">
      <c r="A123" s="18" t="s">
        <v>167</v>
      </c>
      <c r="B123" s="38">
        <v>46308</v>
      </c>
      <c r="C123" s="18" t="s">
        <v>25</v>
      </c>
      <c r="D123" s="18" t="s">
        <v>41</v>
      </c>
      <c r="E123" s="18" t="s">
        <v>46</v>
      </c>
      <c r="F123" s="18">
        <v>6</v>
      </c>
      <c r="G123" s="39">
        <v>17741</v>
      </c>
      <c r="H123" s="39">
        <v>106446</v>
      </c>
      <c r="I123" s="18" t="s">
        <v>33</v>
      </c>
    </row>
    <row r="124" spans="1:9" x14ac:dyDescent="0.3">
      <c r="A124" s="18" t="s">
        <v>168</v>
      </c>
      <c r="B124" s="38">
        <v>46308</v>
      </c>
      <c r="C124" s="18" t="s">
        <v>25</v>
      </c>
      <c r="D124" s="18" t="s">
        <v>31</v>
      </c>
      <c r="E124" s="18" t="s">
        <v>32</v>
      </c>
      <c r="F124" s="18">
        <v>7</v>
      </c>
      <c r="G124" s="39">
        <v>644</v>
      </c>
      <c r="H124" s="39">
        <v>4508</v>
      </c>
      <c r="I124" s="18" t="s">
        <v>33</v>
      </c>
    </row>
    <row r="125" spans="1:9" x14ac:dyDescent="0.3">
      <c r="A125" s="18" t="s">
        <v>169</v>
      </c>
      <c r="B125" s="38">
        <v>46307</v>
      </c>
      <c r="C125" s="18" t="s">
        <v>56</v>
      </c>
      <c r="D125" s="18" t="s">
        <v>41</v>
      </c>
      <c r="E125" s="18" t="s">
        <v>46</v>
      </c>
      <c r="F125" s="18">
        <v>4</v>
      </c>
      <c r="G125" s="39">
        <v>18701</v>
      </c>
      <c r="H125" s="39">
        <v>74804</v>
      </c>
      <c r="I125" s="18" t="s">
        <v>33</v>
      </c>
    </row>
    <row r="126" spans="1:9" x14ac:dyDescent="0.3">
      <c r="A126" s="18" t="s">
        <v>170</v>
      </c>
      <c r="B126" s="38">
        <v>46305</v>
      </c>
      <c r="C126" s="18" t="s">
        <v>56</v>
      </c>
      <c r="D126" s="18" t="s">
        <v>41</v>
      </c>
      <c r="E126" s="18" t="s">
        <v>46</v>
      </c>
      <c r="F126" s="18">
        <v>1</v>
      </c>
      <c r="G126" s="39">
        <v>42489</v>
      </c>
      <c r="H126" s="39">
        <v>42489</v>
      </c>
      <c r="I126" s="18" t="s">
        <v>33</v>
      </c>
    </row>
    <row r="127" spans="1:9" x14ac:dyDescent="0.3">
      <c r="A127" s="18" t="s">
        <v>171</v>
      </c>
      <c r="B127" s="38">
        <v>46303</v>
      </c>
      <c r="C127" s="18" t="s">
        <v>48</v>
      </c>
      <c r="D127" s="18" t="s">
        <v>26</v>
      </c>
      <c r="E127" s="18" t="s">
        <v>42</v>
      </c>
      <c r="F127" s="18">
        <v>1</v>
      </c>
      <c r="G127" s="39">
        <v>4624</v>
      </c>
      <c r="H127" s="39">
        <v>4624</v>
      </c>
      <c r="I127" s="18" t="s">
        <v>33</v>
      </c>
    </row>
    <row r="128" spans="1:9" x14ac:dyDescent="0.3">
      <c r="A128" s="18" t="s">
        <v>172</v>
      </c>
      <c r="B128" s="38">
        <v>46303</v>
      </c>
      <c r="C128" s="18" t="s">
        <v>30</v>
      </c>
      <c r="D128" s="18" t="s">
        <v>41</v>
      </c>
      <c r="E128" s="18" t="s">
        <v>46</v>
      </c>
      <c r="F128" s="18">
        <v>3</v>
      </c>
      <c r="G128" s="39">
        <v>33861</v>
      </c>
      <c r="H128" s="39">
        <v>101583</v>
      </c>
      <c r="I128" s="18" t="s">
        <v>39</v>
      </c>
    </row>
    <row r="129" spans="1:9" x14ac:dyDescent="0.3">
      <c r="A129" s="18" t="s">
        <v>173</v>
      </c>
      <c r="B129" s="38">
        <v>46305</v>
      </c>
      <c r="C129" s="18" t="s">
        <v>54</v>
      </c>
      <c r="D129" s="18" t="s">
        <v>41</v>
      </c>
      <c r="E129" s="18" t="s">
        <v>32</v>
      </c>
      <c r="F129" s="18">
        <v>8</v>
      </c>
      <c r="G129" s="39">
        <v>2196</v>
      </c>
      <c r="H129" s="39">
        <v>17568</v>
      </c>
      <c r="I129" s="18" t="s">
        <v>33</v>
      </c>
    </row>
    <row r="130" spans="1:9" x14ac:dyDescent="0.3">
      <c r="A130" s="18" t="s">
        <v>174</v>
      </c>
      <c r="B130" s="38">
        <v>46300</v>
      </c>
      <c r="C130" s="18" t="s">
        <v>62</v>
      </c>
      <c r="D130" s="18" t="s">
        <v>36</v>
      </c>
      <c r="E130" s="18" t="s">
        <v>42</v>
      </c>
      <c r="F130" s="18">
        <v>3</v>
      </c>
      <c r="G130" s="39">
        <v>671</v>
      </c>
      <c r="H130" s="39">
        <v>2013</v>
      </c>
      <c r="I130" s="18" t="s">
        <v>33</v>
      </c>
    </row>
    <row r="131" spans="1:9" x14ac:dyDescent="0.3">
      <c r="A131" s="18" t="s">
        <v>175</v>
      </c>
      <c r="B131" s="38">
        <v>46309</v>
      </c>
      <c r="C131" s="18" t="s">
        <v>44</v>
      </c>
      <c r="D131" s="18" t="s">
        <v>31</v>
      </c>
      <c r="E131" s="18" t="s">
        <v>49</v>
      </c>
      <c r="F131" s="18">
        <v>1</v>
      </c>
      <c r="G131" s="39">
        <v>1408</v>
      </c>
      <c r="H131" s="39">
        <v>1408</v>
      </c>
      <c r="I131" s="18" t="s">
        <v>28</v>
      </c>
    </row>
    <row r="132" spans="1:9" x14ac:dyDescent="0.3">
      <c r="A132" s="18" t="s">
        <v>176</v>
      </c>
      <c r="B132" s="38">
        <v>46311</v>
      </c>
      <c r="C132" s="18" t="s">
        <v>48</v>
      </c>
      <c r="D132" s="18" t="s">
        <v>41</v>
      </c>
      <c r="E132" s="18" t="s">
        <v>42</v>
      </c>
      <c r="F132" s="18">
        <v>8</v>
      </c>
      <c r="G132" s="39">
        <v>2927</v>
      </c>
      <c r="H132" s="39">
        <v>23416</v>
      </c>
      <c r="I132" s="18" t="s">
        <v>33</v>
      </c>
    </row>
    <row r="133" spans="1:9" x14ac:dyDescent="0.3">
      <c r="A133" s="18" t="s">
        <v>177</v>
      </c>
      <c r="B133" s="38">
        <v>46313</v>
      </c>
      <c r="C133" s="18" t="s">
        <v>62</v>
      </c>
      <c r="D133" s="18" t="s">
        <v>41</v>
      </c>
      <c r="E133" s="18" t="s">
        <v>49</v>
      </c>
      <c r="F133" s="18">
        <v>4</v>
      </c>
      <c r="G133" s="39">
        <v>3106</v>
      </c>
      <c r="H133" s="39">
        <v>12424</v>
      </c>
      <c r="I133" s="18" t="s">
        <v>33</v>
      </c>
    </row>
    <row r="134" spans="1:9" x14ac:dyDescent="0.3">
      <c r="A134" s="18" t="s">
        <v>178</v>
      </c>
      <c r="B134" s="38">
        <v>46308</v>
      </c>
      <c r="C134" s="18" t="s">
        <v>52</v>
      </c>
      <c r="D134" s="18" t="s">
        <v>41</v>
      </c>
      <c r="E134" s="18" t="s">
        <v>46</v>
      </c>
      <c r="F134" s="18">
        <v>6</v>
      </c>
      <c r="G134" s="39">
        <v>32196</v>
      </c>
      <c r="H134" s="39">
        <v>193176</v>
      </c>
      <c r="I134" s="18" t="s">
        <v>28</v>
      </c>
    </row>
    <row r="135" spans="1:9" x14ac:dyDescent="0.3">
      <c r="A135" s="18" t="s">
        <v>179</v>
      </c>
      <c r="B135" s="38">
        <v>46308</v>
      </c>
      <c r="C135" s="18" t="s">
        <v>62</v>
      </c>
      <c r="D135" s="18" t="s">
        <v>36</v>
      </c>
      <c r="E135" s="18" t="s">
        <v>32</v>
      </c>
      <c r="F135" s="18">
        <v>1</v>
      </c>
      <c r="G135" s="39">
        <v>1234</v>
      </c>
      <c r="H135" s="39">
        <v>1234</v>
      </c>
      <c r="I135" s="18" t="s">
        <v>33</v>
      </c>
    </row>
    <row r="136" spans="1:9" x14ac:dyDescent="0.3">
      <c r="A136" s="18" t="s">
        <v>180</v>
      </c>
      <c r="B136" s="38">
        <v>46306</v>
      </c>
      <c r="C136" s="18" t="s">
        <v>30</v>
      </c>
      <c r="D136" s="18" t="s">
        <v>41</v>
      </c>
      <c r="E136" s="18" t="s">
        <v>46</v>
      </c>
      <c r="F136" s="18">
        <v>8</v>
      </c>
      <c r="G136" s="39">
        <v>2205</v>
      </c>
      <c r="H136" s="39">
        <v>17640</v>
      </c>
      <c r="I136" s="18" t="s">
        <v>28</v>
      </c>
    </row>
    <row r="137" spans="1:9" x14ac:dyDescent="0.3">
      <c r="A137" s="18" t="s">
        <v>181</v>
      </c>
      <c r="B137" s="38">
        <v>46309</v>
      </c>
      <c r="C137" s="18" t="s">
        <v>48</v>
      </c>
      <c r="D137" s="18" t="s">
        <v>38</v>
      </c>
      <c r="E137" s="18" t="s">
        <v>32</v>
      </c>
      <c r="F137" s="18">
        <v>5</v>
      </c>
      <c r="G137" s="39">
        <v>2973</v>
      </c>
      <c r="H137" s="39">
        <v>14865</v>
      </c>
      <c r="I137" s="18" t="s">
        <v>28</v>
      </c>
    </row>
    <row r="138" spans="1:9" x14ac:dyDescent="0.3">
      <c r="A138" s="18" t="s">
        <v>182</v>
      </c>
      <c r="B138" s="38">
        <v>46308</v>
      </c>
      <c r="C138" s="18" t="s">
        <v>30</v>
      </c>
      <c r="D138" s="18" t="s">
        <v>26</v>
      </c>
      <c r="E138" s="18" t="s">
        <v>42</v>
      </c>
      <c r="F138" s="18">
        <v>7</v>
      </c>
      <c r="G138" s="39">
        <v>2694</v>
      </c>
      <c r="H138" s="39">
        <v>18858</v>
      </c>
      <c r="I138" s="18" t="s">
        <v>28</v>
      </c>
    </row>
    <row r="139" spans="1:9" x14ac:dyDescent="0.3">
      <c r="A139" s="18" t="s">
        <v>183</v>
      </c>
      <c r="B139" s="38">
        <v>46311</v>
      </c>
      <c r="C139" s="18" t="s">
        <v>25</v>
      </c>
      <c r="D139" s="18" t="s">
        <v>31</v>
      </c>
      <c r="E139" s="18" t="s">
        <v>46</v>
      </c>
      <c r="F139" s="18">
        <v>4</v>
      </c>
      <c r="G139" s="39">
        <v>42563</v>
      </c>
      <c r="H139" s="39">
        <v>170252</v>
      </c>
      <c r="I139" s="18" t="s">
        <v>28</v>
      </c>
    </row>
    <row r="140" spans="1:9" x14ac:dyDescent="0.3">
      <c r="A140" s="18" t="s">
        <v>184</v>
      </c>
      <c r="B140" s="38">
        <v>46305</v>
      </c>
      <c r="C140" s="18" t="s">
        <v>52</v>
      </c>
      <c r="D140" s="18" t="s">
        <v>38</v>
      </c>
      <c r="E140" s="18" t="s">
        <v>32</v>
      </c>
      <c r="F140" s="18">
        <v>2</v>
      </c>
      <c r="G140" s="39">
        <v>6428</v>
      </c>
      <c r="H140" s="39">
        <v>12856</v>
      </c>
      <c r="I140" s="18" t="s">
        <v>28</v>
      </c>
    </row>
    <row r="141" spans="1:9" x14ac:dyDescent="0.3">
      <c r="A141" s="18" t="s">
        <v>185</v>
      </c>
      <c r="B141" s="38">
        <v>46299</v>
      </c>
      <c r="C141" s="18" t="s">
        <v>56</v>
      </c>
      <c r="D141" s="18" t="s">
        <v>36</v>
      </c>
      <c r="E141" s="18" t="s">
        <v>49</v>
      </c>
      <c r="F141" s="18">
        <v>1</v>
      </c>
      <c r="G141" s="39">
        <v>438</v>
      </c>
      <c r="H141" s="39">
        <v>438</v>
      </c>
      <c r="I141" s="18" t="s">
        <v>33</v>
      </c>
    </row>
    <row r="142" spans="1:9" x14ac:dyDescent="0.3">
      <c r="A142" s="18" t="s">
        <v>186</v>
      </c>
      <c r="B142" s="38">
        <v>46297</v>
      </c>
      <c r="C142" s="18" t="s">
        <v>54</v>
      </c>
      <c r="D142" s="18" t="s">
        <v>26</v>
      </c>
      <c r="E142" s="18" t="s">
        <v>49</v>
      </c>
      <c r="F142" s="18">
        <v>7</v>
      </c>
      <c r="G142" s="39">
        <v>846</v>
      </c>
      <c r="H142" s="39">
        <v>5922</v>
      </c>
      <c r="I142" s="18" t="s">
        <v>33</v>
      </c>
    </row>
    <row r="143" spans="1:9" x14ac:dyDescent="0.3">
      <c r="A143" s="18" t="s">
        <v>187</v>
      </c>
      <c r="B143" s="38">
        <v>46309</v>
      </c>
      <c r="C143" s="18" t="s">
        <v>48</v>
      </c>
      <c r="D143" s="18" t="s">
        <v>36</v>
      </c>
      <c r="E143" s="18" t="s">
        <v>27</v>
      </c>
      <c r="F143" s="18">
        <v>2</v>
      </c>
      <c r="G143" s="39">
        <v>22471</v>
      </c>
      <c r="H143" s="39">
        <v>44942</v>
      </c>
      <c r="I143" s="18" t="s">
        <v>39</v>
      </c>
    </row>
    <row r="144" spans="1:9" x14ac:dyDescent="0.3">
      <c r="A144" s="18" t="s">
        <v>188</v>
      </c>
      <c r="B144" s="38">
        <v>46303</v>
      </c>
      <c r="C144" s="18" t="s">
        <v>56</v>
      </c>
      <c r="D144" s="18" t="s">
        <v>31</v>
      </c>
      <c r="E144" s="18" t="s">
        <v>27</v>
      </c>
      <c r="F144" s="18">
        <v>4</v>
      </c>
      <c r="G144" s="39">
        <v>17610</v>
      </c>
      <c r="H144" s="39">
        <v>70440</v>
      </c>
      <c r="I144" s="18" t="s">
        <v>28</v>
      </c>
    </row>
    <row r="145" spans="1:9" x14ac:dyDescent="0.3">
      <c r="A145" s="18" t="s">
        <v>189</v>
      </c>
      <c r="B145" s="38">
        <v>46310</v>
      </c>
      <c r="C145" s="18" t="s">
        <v>54</v>
      </c>
      <c r="D145" s="18" t="s">
        <v>38</v>
      </c>
      <c r="E145" s="18" t="s">
        <v>32</v>
      </c>
      <c r="F145" s="18">
        <v>5</v>
      </c>
      <c r="G145" s="39">
        <v>5750</v>
      </c>
      <c r="H145" s="39">
        <v>28750</v>
      </c>
      <c r="I145" s="18" t="s">
        <v>33</v>
      </c>
    </row>
    <row r="146" spans="1:9" x14ac:dyDescent="0.3">
      <c r="A146" s="18" t="s">
        <v>190</v>
      </c>
      <c r="B146" s="38">
        <v>46298</v>
      </c>
      <c r="C146" s="18" t="s">
        <v>56</v>
      </c>
      <c r="D146" s="18" t="s">
        <v>26</v>
      </c>
      <c r="E146" s="18" t="s">
        <v>42</v>
      </c>
      <c r="F146" s="18">
        <v>5</v>
      </c>
      <c r="G146" s="39">
        <v>5334</v>
      </c>
      <c r="H146" s="39">
        <v>26670</v>
      </c>
      <c r="I146" s="18" t="s">
        <v>79</v>
      </c>
    </row>
    <row r="147" spans="1:9" x14ac:dyDescent="0.3">
      <c r="A147" s="18" t="s">
        <v>191</v>
      </c>
      <c r="B147" s="38">
        <v>46304</v>
      </c>
      <c r="C147" s="18" t="s">
        <v>56</v>
      </c>
      <c r="D147" s="18" t="s">
        <v>26</v>
      </c>
      <c r="E147" s="18" t="s">
        <v>27</v>
      </c>
      <c r="F147" s="18">
        <v>7</v>
      </c>
      <c r="G147" s="39">
        <v>18333</v>
      </c>
      <c r="H147" s="39">
        <v>128331</v>
      </c>
      <c r="I147" s="18" t="s">
        <v>33</v>
      </c>
    </row>
    <row r="148" spans="1:9" x14ac:dyDescent="0.3">
      <c r="A148" s="18" t="s">
        <v>192</v>
      </c>
      <c r="B148" s="38">
        <v>46308</v>
      </c>
      <c r="C148" s="18" t="s">
        <v>44</v>
      </c>
      <c r="D148" s="18" t="s">
        <v>31</v>
      </c>
      <c r="E148" s="18" t="s">
        <v>49</v>
      </c>
      <c r="F148" s="18">
        <v>5</v>
      </c>
      <c r="G148" s="39">
        <v>339</v>
      </c>
      <c r="H148" s="39">
        <v>1695</v>
      </c>
      <c r="I148" s="18" t="s">
        <v>79</v>
      </c>
    </row>
    <row r="149" spans="1:9" x14ac:dyDescent="0.3">
      <c r="A149" s="18" t="s">
        <v>193</v>
      </c>
      <c r="B149" s="38">
        <v>46308</v>
      </c>
      <c r="C149" s="18" t="s">
        <v>54</v>
      </c>
      <c r="D149" s="18" t="s">
        <v>38</v>
      </c>
      <c r="E149" s="18" t="s">
        <v>42</v>
      </c>
      <c r="F149" s="18">
        <v>1</v>
      </c>
      <c r="G149" s="39">
        <v>5067</v>
      </c>
      <c r="H149" s="39">
        <v>5067</v>
      </c>
      <c r="I149" s="18" t="s">
        <v>28</v>
      </c>
    </row>
    <row r="150" spans="1:9" x14ac:dyDescent="0.3">
      <c r="A150" s="18" t="s">
        <v>194</v>
      </c>
      <c r="B150" s="38">
        <v>46305</v>
      </c>
      <c r="C150" s="18" t="s">
        <v>52</v>
      </c>
      <c r="D150" s="18" t="s">
        <v>31</v>
      </c>
      <c r="E150" s="18" t="s">
        <v>49</v>
      </c>
      <c r="F150" s="18">
        <v>4</v>
      </c>
      <c r="G150" s="39">
        <v>2857</v>
      </c>
      <c r="H150" s="39">
        <v>11428</v>
      </c>
      <c r="I150" s="18" t="s">
        <v>33</v>
      </c>
    </row>
    <row r="151" spans="1:9" x14ac:dyDescent="0.3">
      <c r="A151" s="18" t="s">
        <v>195</v>
      </c>
      <c r="B151" s="38">
        <v>46304</v>
      </c>
      <c r="C151" s="18" t="s">
        <v>48</v>
      </c>
      <c r="D151" s="18" t="s">
        <v>38</v>
      </c>
      <c r="E151" s="18" t="s">
        <v>46</v>
      </c>
      <c r="F151" s="18">
        <v>5</v>
      </c>
      <c r="G151" s="39">
        <v>30089</v>
      </c>
      <c r="H151" s="39">
        <v>150445</v>
      </c>
      <c r="I151" s="18" t="s">
        <v>33</v>
      </c>
    </row>
    <row r="152" spans="1:9" x14ac:dyDescent="0.3">
      <c r="A152" s="18" t="s">
        <v>196</v>
      </c>
      <c r="B152" s="38">
        <v>46307</v>
      </c>
      <c r="C152" s="18" t="s">
        <v>48</v>
      </c>
      <c r="D152" s="18" t="s">
        <v>38</v>
      </c>
      <c r="E152" s="18" t="s">
        <v>49</v>
      </c>
      <c r="F152" s="18">
        <v>6</v>
      </c>
      <c r="G152" s="39">
        <v>3311</v>
      </c>
      <c r="H152" s="39">
        <v>19866</v>
      </c>
      <c r="I152" s="18" t="s">
        <v>33</v>
      </c>
    </row>
    <row r="153" spans="1:9" x14ac:dyDescent="0.3">
      <c r="A153" s="18" t="s">
        <v>197</v>
      </c>
      <c r="B153" s="38">
        <v>46302</v>
      </c>
      <c r="C153" s="18" t="s">
        <v>48</v>
      </c>
      <c r="D153" s="18" t="s">
        <v>31</v>
      </c>
      <c r="E153" s="18" t="s">
        <v>49</v>
      </c>
      <c r="F153" s="18">
        <v>5</v>
      </c>
      <c r="G153" s="39">
        <v>923</v>
      </c>
      <c r="H153" s="39">
        <v>4615</v>
      </c>
      <c r="I153" s="18" t="s">
        <v>33</v>
      </c>
    </row>
    <row r="154" spans="1:9" x14ac:dyDescent="0.3">
      <c r="A154" s="18" t="s">
        <v>198</v>
      </c>
      <c r="B154" s="38">
        <v>46311</v>
      </c>
      <c r="C154" s="18" t="s">
        <v>54</v>
      </c>
      <c r="D154" s="18" t="s">
        <v>26</v>
      </c>
      <c r="E154" s="18" t="s">
        <v>46</v>
      </c>
      <c r="F154" s="18">
        <v>8</v>
      </c>
      <c r="G154" s="39">
        <v>6134</v>
      </c>
      <c r="H154" s="39">
        <v>49072</v>
      </c>
      <c r="I154" s="18" t="s">
        <v>33</v>
      </c>
    </row>
    <row r="155" spans="1:9" x14ac:dyDescent="0.3">
      <c r="A155" s="18" t="s">
        <v>199</v>
      </c>
      <c r="B155" s="38">
        <v>46303</v>
      </c>
      <c r="C155" s="18" t="s">
        <v>62</v>
      </c>
      <c r="D155" s="18" t="s">
        <v>31</v>
      </c>
      <c r="E155" s="18" t="s">
        <v>49</v>
      </c>
      <c r="F155" s="18">
        <v>2</v>
      </c>
      <c r="G155" s="39">
        <v>3488</v>
      </c>
      <c r="H155" s="39">
        <v>6976</v>
      </c>
      <c r="I155" s="18" t="s">
        <v>33</v>
      </c>
    </row>
    <row r="156" spans="1:9" x14ac:dyDescent="0.3">
      <c r="A156" s="18" t="s">
        <v>200</v>
      </c>
      <c r="B156" s="38">
        <v>46304</v>
      </c>
      <c r="C156" s="18" t="s">
        <v>30</v>
      </c>
      <c r="D156" s="18" t="s">
        <v>41</v>
      </c>
      <c r="E156" s="18" t="s">
        <v>49</v>
      </c>
      <c r="F156" s="18">
        <v>5</v>
      </c>
      <c r="G156" s="39">
        <v>2644</v>
      </c>
      <c r="H156" s="39">
        <v>13220</v>
      </c>
      <c r="I156" s="18" t="s">
        <v>33</v>
      </c>
    </row>
    <row r="157" spans="1:9" x14ac:dyDescent="0.3">
      <c r="A157" s="18" t="s">
        <v>201</v>
      </c>
      <c r="B157" s="38">
        <v>46307</v>
      </c>
      <c r="C157" s="18" t="s">
        <v>30</v>
      </c>
      <c r="D157" s="18" t="s">
        <v>36</v>
      </c>
      <c r="E157" s="18" t="s">
        <v>32</v>
      </c>
      <c r="F157" s="18">
        <v>1</v>
      </c>
      <c r="G157" s="39">
        <v>5275</v>
      </c>
      <c r="H157" s="39">
        <v>5275</v>
      </c>
      <c r="I157" s="18" t="s">
        <v>39</v>
      </c>
    </row>
    <row r="158" spans="1:9" x14ac:dyDescent="0.3">
      <c r="A158" s="18" t="s">
        <v>202</v>
      </c>
      <c r="B158" s="38">
        <v>46313</v>
      </c>
      <c r="C158" s="18" t="s">
        <v>44</v>
      </c>
      <c r="D158" s="18" t="s">
        <v>31</v>
      </c>
      <c r="E158" s="18" t="s">
        <v>27</v>
      </c>
      <c r="F158" s="18">
        <v>2</v>
      </c>
      <c r="G158" s="39">
        <v>23320</v>
      </c>
      <c r="H158" s="39">
        <v>46640</v>
      </c>
      <c r="I158" s="18" t="s">
        <v>39</v>
      </c>
    </row>
    <row r="159" spans="1:9" x14ac:dyDescent="0.3">
      <c r="A159" s="18" t="s">
        <v>203</v>
      </c>
      <c r="B159" s="38">
        <v>46305</v>
      </c>
      <c r="C159" s="18" t="s">
        <v>62</v>
      </c>
      <c r="D159" s="18" t="s">
        <v>38</v>
      </c>
      <c r="E159" s="18" t="s">
        <v>27</v>
      </c>
      <c r="F159" s="18">
        <v>1</v>
      </c>
      <c r="G159" s="39">
        <v>3719</v>
      </c>
      <c r="H159" s="39">
        <v>3719</v>
      </c>
      <c r="I159" s="18" t="s">
        <v>33</v>
      </c>
    </row>
    <row r="160" spans="1:9" x14ac:dyDescent="0.3">
      <c r="A160" s="18" t="s">
        <v>204</v>
      </c>
      <c r="B160" s="38">
        <v>46311</v>
      </c>
      <c r="C160" s="18" t="s">
        <v>30</v>
      </c>
      <c r="D160" s="18" t="s">
        <v>38</v>
      </c>
      <c r="E160" s="18" t="s">
        <v>27</v>
      </c>
      <c r="F160" s="18">
        <v>3</v>
      </c>
      <c r="G160" s="39">
        <v>15235</v>
      </c>
      <c r="H160" s="39">
        <v>45705</v>
      </c>
      <c r="I160" s="18" t="s">
        <v>33</v>
      </c>
    </row>
    <row r="161" spans="1:9" x14ac:dyDescent="0.3">
      <c r="A161" s="18" t="s">
        <v>205</v>
      </c>
      <c r="B161" s="38">
        <v>46313</v>
      </c>
      <c r="C161" s="18" t="s">
        <v>62</v>
      </c>
      <c r="D161" s="18" t="s">
        <v>31</v>
      </c>
      <c r="E161" s="18" t="s">
        <v>27</v>
      </c>
      <c r="F161" s="18">
        <v>7</v>
      </c>
      <c r="G161" s="39">
        <v>23960</v>
      </c>
      <c r="H161" s="39">
        <v>167720</v>
      </c>
      <c r="I161" s="18" t="s">
        <v>33</v>
      </c>
    </row>
    <row r="162" spans="1:9" x14ac:dyDescent="0.3">
      <c r="A162" s="18" t="s">
        <v>206</v>
      </c>
      <c r="B162" s="38">
        <v>46311</v>
      </c>
      <c r="C162" s="18" t="s">
        <v>62</v>
      </c>
      <c r="D162" s="18" t="s">
        <v>26</v>
      </c>
      <c r="E162" s="18" t="s">
        <v>46</v>
      </c>
      <c r="F162" s="18">
        <v>6</v>
      </c>
      <c r="G162" s="39">
        <v>15438</v>
      </c>
      <c r="H162" s="39">
        <v>92628</v>
      </c>
      <c r="I162" s="18" t="s">
        <v>33</v>
      </c>
    </row>
    <row r="163" spans="1:9" x14ac:dyDescent="0.3">
      <c r="A163" s="18" t="s">
        <v>207</v>
      </c>
      <c r="B163" s="38">
        <v>46303</v>
      </c>
      <c r="C163" s="18" t="s">
        <v>44</v>
      </c>
      <c r="D163" s="18" t="s">
        <v>38</v>
      </c>
      <c r="E163" s="18" t="s">
        <v>49</v>
      </c>
      <c r="F163" s="18">
        <v>6</v>
      </c>
      <c r="G163" s="39">
        <v>498</v>
      </c>
      <c r="H163" s="39">
        <v>2988</v>
      </c>
      <c r="I163" s="18" t="s">
        <v>33</v>
      </c>
    </row>
    <row r="164" spans="1:9" x14ac:dyDescent="0.3">
      <c r="A164" s="18" t="s">
        <v>208</v>
      </c>
      <c r="B164" s="38">
        <v>46302</v>
      </c>
      <c r="C164" s="18" t="s">
        <v>30</v>
      </c>
      <c r="D164" s="18" t="s">
        <v>41</v>
      </c>
      <c r="E164" s="18" t="s">
        <v>46</v>
      </c>
      <c r="F164" s="18">
        <v>4</v>
      </c>
      <c r="G164" s="39">
        <v>43254</v>
      </c>
      <c r="H164" s="39">
        <v>173016</v>
      </c>
      <c r="I164" s="18" t="s">
        <v>28</v>
      </c>
    </row>
    <row r="165" spans="1:9" x14ac:dyDescent="0.3">
      <c r="A165" s="18" t="s">
        <v>209</v>
      </c>
      <c r="B165" s="38">
        <v>46296</v>
      </c>
      <c r="C165" s="18" t="s">
        <v>25</v>
      </c>
      <c r="D165" s="18" t="s">
        <v>26</v>
      </c>
      <c r="E165" s="18" t="s">
        <v>27</v>
      </c>
      <c r="F165" s="18">
        <v>3</v>
      </c>
      <c r="G165" s="39">
        <v>28287</v>
      </c>
      <c r="H165" s="39">
        <v>84861</v>
      </c>
      <c r="I165" s="18" t="s">
        <v>33</v>
      </c>
    </row>
    <row r="166" spans="1:9" x14ac:dyDescent="0.3">
      <c r="A166" s="18" t="s">
        <v>210</v>
      </c>
      <c r="B166" s="38">
        <v>46298</v>
      </c>
      <c r="C166" s="18" t="s">
        <v>52</v>
      </c>
      <c r="D166" s="18" t="s">
        <v>31</v>
      </c>
      <c r="E166" s="18" t="s">
        <v>27</v>
      </c>
      <c r="F166" s="18">
        <v>4</v>
      </c>
      <c r="G166" s="39">
        <v>13266</v>
      </c>
      <c r="H166" s="39">
        <v>53064</v>
      </c>
      <c r="I166" s="18" t="s">
        <v>39</v>
      </c>
    </row>
    <row r="167" spans="1:9" x14ac:dyDescent="0.3">
      <c r="A167" s="18" t="s">
        <v>211</v>
      </c>
      <c r="B167" s="38">
        <v>46296</v>
      </c>
      <c r="C167" s="18" t="s">
        <v>54</v>
      </c>
      <c r="D167" s="18" t="s">
        <v>36</v>
      </c>
      <c r="E167" s="18" t="s">
        <v>27</v>
      </c>
      <c r="F167" s="18">
        <v>5</v>
      </c>
      <c r="G167" s="39">
        <v>28665</v>
      </c>
      <c r="H167" s="39">
        <v>143325</v>
      </c>
      <c r="I167" s="18" t="s">
        <v>33</v>
      </c>
    </row>
    <row r="168" spans="1:9" x14ac:dyDescent="0.3">
      <c r="A168" s="18" t="s">
        <v>212</v>
      </c>
      <c r="B168" s="38">
        <v>46296</v>
      </c>
      <c r="C168" s="18" t="s">
        <v>48</v>
      </c>
      <c r="D168" s="18" t="s">
        <v>38</v>
      </c>
      <c r="E168" s="18" t="s">
        <v>49</v>
      </c>
      <c r="F168" s="18">
        <v>4</v>
      </c>
      <c r="G168" s="39">
        <v>2661</v>
      </c>
      <c r="H168" s="39">
        <v>10644</v>
      </c>
      <c r="I168" s="18" t="s">
        <v>33</v>
      </c>
    </row>
    <row r="169" spans="1:9" x14ac:dyDescent="0.3">
      <c r="A169" s="18" t="s">
        <v>213</v>
      </c>
      <c r="B169" s="38">
        <v>46301</v>
      </c>
      <c r="C169" s="18" t="s">
        <v>54</v>
      </c>
      <c r="D169" s="18" t="s">
        <v>38</v>
      </c>
      <c r="E169" s="18" t="s">
        <v>27</v>
      </c>
      <c r="F169" s="18">
        <v>7</v>
      </c>
      <c r="G169" s="39">
        <v>19738</v>
      </c>
      <c r="H169" s="39">
        <v>138166</v>
      </c>
      <c r="I169" s="18" t="s">
        <v>33</v>
      </c>
    </row>
    <row r="170" spans="1:9" x14ac:dyDescent="0.3">
      <c r="A170" s="18" t="s">
        <v>214</v>
      </c>
      <c r="B170" s="38">
        <v>46298</v>
      </c>
      <c r="C170" s="18" t="s">
        <v>56</v>
      </c>
      <c r="D170" s="18" t="s">
        <v>41</v>
      </c>
      <c r="E170" s="18" t="s">
        <v>49</v>
      </c>
      <c r="F170" s="18">
        <v>2</v>
      </c>
      <c r="G170" s="39">
        <v>2101</v>
      </c>
      <c r="H170" s="39">
        <v>4202</v>
      </c>
      <c r="I170" s="18" t="s">
        <v>33</v>
      </c>
    </row>
    <row r="171" spans="1:9" x14ac:dyDescent="0.3">
      <c r="A171" s="18" t="s">
        <v>215</v>
      </c>
      <c r="B171" s="38">
        <v>46297</v>
      </c>
      <c r="C171" s="18" t="s">
        <v>54</v>
      </c>
      <c r="D171" s="18" t="s">
        <v>41</v>
      </c>
      <c r="E171" s="18" t="s">
        <v>46</v>
      </c>
      <c r="F171" s="18">
        <v>1</v>
      </c>
      <c r="G171" s="39">
        <v>32590</v>
      </c>
      <c r="H171" s="39">
        <v>32590</v>
      </c>
      <c r="I171" s="18" t="s">
        <v>39</v>
      </c>
    </row>
    <row r="172" spans="1:9" x14ac:dyDescent="0.3">
      <c r="A172" s="18" t="s">
        <v>216</v>
      </c>
      <c r="B172" s="38">
        <v>46309</v>
      </c>
      <c r="C172" s="18" t="s">
        <v>30</v>
      </c>
      <c r="D172" s="18" t="s">
        <v>41</v>
      </c>
      <c r="E172" s="18" t="s">
        <v>32</v>
      </c>
      <c r="F172" s="18">
        <v>2</v>
      </c>
      <c r="G172" s="39">
        <v>7566</v>
      </c>
      <c r="H172" s="39">
        <v>15132</v>
      </c>
      <c r="I172" s="18" t="s">
        <v>33</v>
      </c>
    </row>
    <row r="173" spans="1:9" x14ac:dyDescent="0.3">
      <c r="A173" s="18" t="s">
        <v>217</v>
      </c>
      <c r="B173" s="38">
        <v>46300</v>
      </c>
      <c r="C173" s="18" t="s">
        <v>30</v>
      </c>
      <c r="D173" s="18" t="s">
        <v>36</v>
      </c>
      <c r="E173" s="18" t="s">
        <v>49</v>
      </c>
      <c r="F173" s="18">
        <v>6</v>
      </c>
      <c r="G173" s="39">
        <v>1810</v>
      </c>
      <c r="H173" s="39">
        <v>10860</v>
      </c>
      <c r="I173" s="18" t="s">
        <v>79</v>
      </c>
    </row>
    <row r="174" spans="1:9" x14ac:dyDescent="0.3">
      <c r="A174" s="18" t="s">
        <v>218</v>
      </c>
      <c r="B174" s="38">
        <v>46312</v>
      </c>
      <c r="C174" s="18" t="s">
        <v>54</v>
      </c>
      <c r="D174" s="18" t="s">
        <v>41</v>
      </c>
      <c r="E174" s="18" t="s">
        <v>42</v>
      </c>
      <c r="F174" s="18">
        <v>7</v>
      </c>
      <c r="G174" s="39">
        <v>912</v>
      </c>
      <c r="H174" s="39">
        <v>6384</v>
      </c>
      <c r="I174" s="18" t="s">
        <v>39</v>
      </c>
    </row>
    <row r="175" spans="1:9" x14ac:dyDescent="0.3">
      <c r="A175" s="18" t="s">
        <v>219</v>
      </c>
      <c r="B175" s="38">
        <v>46299</v>
      </c>
      <c r="C175" s="18" t="s">
        <v>52</v>
      </c>
      <c r="D175" s="18" t="s">
        <v>41</v>
      </c>
      <c r="E175" s="18" t="s">
        <v>32</v>
      </c>
      <c r="F175" s="18">
        <v>4</v>
      </c>
      <c r="G175" s="39">
        <v>3589</v>
      </c>
      <c r="H175" s="39">
        <v>14356</v>
      </c>
      <c r="I175" s="18" t="s">
        <v>33</v>
      </c>
    </row>
    <row r="176" spans="1:9" x14ac:dyDescent="0.3">
      <c r="A176" s="18" t="s">
        <v>220</v>
      </c>
      <c r="B176" s="38">
        <v>46310</v>
      </c>
      <c r="C176" s="18" t="s">
        <v>62</v>
      </c>
      <c r="D176" s="18" t="s">
        <v>41</v>
      </c>
      <c r="E176" s="18" t="s">
        <v>46</v>
      </c>
      <c r="F176" s="18">
        <v>6</v>
      </c>
      <c r="G176" s="39">
        <v>29168</v>
      </c>
      <c r="H176" s="39">
        <v>175008</v>
      </c>
      <c r="I176" s="18" t="s">
        <v>33</v>
      </c>
    </row>
    <row r="177" spans="1:9" x14ac:dyDescent="0.3">
      <c r="A177" s="18" t="s">
        <v>221</v>
      </c>
      <c r="B177" s="38">
        <v>46304</v>
      </c>
      <c r="C177" s="18" t="s">
        <v>44</v>
      </c>
      <c r="D177" s="18" t="s">
        <v>36</v>
      </c>
      <c r="E177" s="18" t="s">
        <v>32</v>
      </c>
      <c r="F177" s="18">
        <v>2</v>
      </c>
      <c r="G177" s="39">
        <v>947</v>
      </c>
      <c r="H177" s="39">
        <v>1894</v>
      </c>
      <c r="I177" s="18" t="s">
        <v>39</v>
      </c>
    </row>
    <row r="178" spans="1:9" x14ac:dyDescent="0.3">
      <c r="A178" s="18" t="s">
        <v>222</v>
      </c>
      <c r="B178" s="38">
        <v>46298</v>
      </c>
      <c r="C178" s="18" t="s">
        <v>62</v>
      </c>
      <c r="D178" s="18" t="s">
        <v>38</v>
      </c>
      <c r="E178" s="18" t="s">
        <v>49</v>
      </c>
      <c r="F178" s="18">
        <v>3</v>
      </c>
      <c r="G178" s="39">
        <v>2528</v>
      </c>
      <c r="H178" s="39">
        <v>7584</v>
      </c>
      <c r="I178" s="18" t="s">
        <v>33</v>
      </c>
    </row>
    <row r="179" spans="1:9" x14ac:dyDescent="0.3">
      <c r="A179" s="18" t="s">
        <v>223</v>
      </c>
      <c r="B179" s="38">
        <v>46313</v>
      </c>
      <c r="C179" s="18" t="s">
        <v>44</v>
      </c>
      <c r="D179" s="18" t="s">
        <v>38</v>
      </c>
      <c r="E179" s="18" t="s">
        <v>32</v>
      </c>
      <c r="F179" s="18">
        <v>6</v>
      </c>
      <c r="G179" s="39">
        <v>7356</v>
      </c>
      <c r="H179" s="39">
        <v>44136</v>
      </c>
      <c r="I179" s="18" t="s">
        <v>28</v>
      </c>
    </row>
    <row r="180" spans="1:9" x14ac:dyDescent="0.3">
      <c r="A180" s="18" t="s">
        <v>224</v>
      </c>
      <c r="B180" s="38">
        <v>46309</v>
      </c>
      <c r="C180" s="18" t="s">
        <v>25</v>
      </c>
      <c r="D180" s="18" t="s">
        <v>26</v>
      </c>
      <c r="E180" s="18" t="s">
        <v>42</v>
      </c>
      <c r="F180" s="18">
        <v>5</v>
      </c>
      <c r="G180" s="39">
        <v>2980</v>
      </c>
      <c r="H180" s="39">
        <v>14900</v>
      </c>
      <c r="I180" s="18" t="s">
        <v>33</v>
      </c>
    </row>
    <row r="181" spans="1:9" x14ac:dyDescent="0.3">
      <c r="A181" s="18" t="s">
        <v>225</v>
      </c>
      <c r="B181" s="38">
        <v>46312</v>
      </c>
      <c r="C181" s="18" t="s">
        <v>52</v>
      </c>
      <c r="D181" s="18" t="s">
        <v>36</v>
      </c>
      <c r="E181" s="18" t="s">
        <v>32</v>
      </c>
      <c r="F181" s="18">
        <v>4</v>
      </c>
      <c r="G181" s="39">
        <v>7140</v>
      </c>
      <c r="H181" s="39">
        <v>28560</v>
      </c>
      <c r="I181" s="18" t="s">
        <v>33</v>
      </c>
    </row>
    <row r="182" spans="1:9" x14ac:dyDescent="0.3">
      <c r="A182" s="18" t="s">
        <v>226</v>
      </c>
      <c r="B182" s="38">
        <v>46313</v>
      </c>
      <c r="C182" s="18" t="s">
        <v>44</v>
      </c>
      <c r="D182" s="18" t="s">
        <v>38</v>
      </c>
      <c r="E182" s="18" t="s">
        <v>49</v>
      </c>
      <c r="F182" s="18">
        <v>4</v>
      </c>
      <c r="G182" s="39">
        <v>2007</v>
      </c>
      <c r="H182" s="39">
        <v>8028</v>
      </c>
      <c r="I182" s="18" t="s">
        <v>39</v>
      </c>
    </row>
    <row r="183" spans="1:9" x14ac:dyDescent="0.3">
      <c r="A183" s="18" t="s">
        <v>227</v>
      </c>
      <c r="B183" s="38">
        <v>46313</v>
      </c>
      <c r="C183" s="18" t="s">
        <v>25</v>
      </c>
      <c r="D183" s="18" t="s">
        <v>31</v>
      </c>
      <c r="E183" s="18" t="s">
        <v>49</v>
      </c>
      <c r="F183" s="18">
        <v>1</v>
      </c>
      <c r="G183" s="39">
        <v>988</v>
      </c>
      <c r="H183" s="39">
        <v>988</v>
      </c>
      <c r="I183" s="18" t="s">
        <v>33</v>
      </c>
    </row>
    <row r="184" spans="1:9" x14ac:dyDescent="0.3">
      <c r="A184" s="18" t="s">
        <v>228</v>
      </c>
      <c r="B184" s="38">
        <v>46305</v>
      </c>
      <c r="C184" s="18" t="s">
        <v>44</v>
      </c>
      <c r="D184" s="18" t="s">
        <v>26</v>
      </c>
      <c r="E184" s="18" t="s">
        <v>46</v>
      </c>
      <c r="F184" s="18">
        <v>3</v>
      </c>
      <c r="G184" s="39">
        <v>10588</v>
      </c>
      <c r="H184" s="39">
        <v>31764</v>
      </c>
      <c r="I184" s="18" t="s">
        <v>33</v>
      </c>
    </row>
    <row r="185" spans="1:9" x14ac:dyDescent="0.3">
      <c r="A185" s="18" t="s">
        <v>229</v>
      </c>
      <c r="B185" s="38">
        <v>46308</v>
      </c>
      <c r="C185" s="18" t="s">
        <v>30</v>
      </c>
      <c r="D185" s="18" t="s">
        <v>36</v>
      </c>
      <c r="E185" s="18" t="s">
        <v>46</v>
      </c>
      <c r="F185" s="18">
        <v>2</v>
      </c>
      <c r="G185" s="39">
        <v>35965</v>
      </c>
      <c r="H185" s="39">
        <v>71930</v>
      </c>
      <c r="I185" s="18" t="s">
        <v>33</v>
      </c>
    </row>
    <row r="186" spans="1:9" x14ac:dyDescent="0.3">
      <c r="A186" s="18" t="s">
        <v>230</v>
      </c>
      <c r="B186" s="38">
        <v>46309</v>
      </c>
      <c r="C186" s="18" t="s">
        <v>56</v>
      </c>
      <c r="D186" s="18" t="s">
        <v>26</v>
      </c>
      <c r="E186" s="18" t="s">
        <v>27</v>
      </c>
      <c r="F186" s="18">
        <v>6</v>
      </c>
      <c r="G186" s="39">
        <v>12711</v>
      </c>
      <c r="H186" s="39">
        <v>76266</v>
      </c>
      <c r="I186" s="18" t="s">
        <v>28</v>
      </c>
    </row>
    <row r="187" spans="1:9" x14ac:dyDescent="0.3">
      <c r="A187" s="18" t="s">
        <v>231</v>
      </c>
      <c r="B187" s="38">
        <v>46298</v>
      </c>
      <c r="C187" s="18" t="s">
        <v>25</v>
      </c>
      <c r="D187" s="18" t="s">
        <v>36</v>
      </c>
      <c r="E187" s="18" t="s">
        <v>27</v>
      </c>
      <c r="F187" s="18">
        <v>1</v>
      </c>
      <c r="G187" s="39">
        <v>24584</v>
      </c>
      <c r="H187" s="39">
        <v>24584</v>
      </c>
      <c r="I187" s="18" t="s">
        <v>33</v>
      </c>
    </row>
    <row r="188" spans="1:9" x14ac:dyDescent="0.3">
      <c r="A188" s="18" t="s">
        <v>232</v>
      </c>
      <c r="B188" s="38">
        <v>46310</v>
      </c>
      <c r="C188" s="18" t="s">
        <v>62</v>
      </c>
      <c r="D188" s="18" t="s">
        <v>41</v>
      </c>
      <c r="E188" s="18" t="s">
        <v>42</v>
      </c>
      <c r="F188" s="18">
        <v>8</v>
      </c>
      <c r="G188" s="39">
        <v>3492</v>
      </c>
      <c r="H188" s="39">
        <v>27936</v>
      </c>
      <c r="I188" s="18" t="s">
        <v>33</v>
      </c>
    </row>
    <row r="189" spans="1:9" x14ac:dyDescent="0.3">
      <c r="A189" s="18" t="s">
        <v>233</v>
      </c>
      <c r="B189" s="38">
        <v>46312</v>
      </c>
      <c r="C189" s="18" t="s">
        <v>30</v>
      </c>
      <c r="D189" s="18" t="s">
        <v>26</v>
      </c>
      <c r="E189" s="18" t="s">
        <v>32</v>
      </c>
      <c r="F189" s="18">
        <v>2</v>
      </c>
      <c r="G189" s="39">
        <v>2520</v>
      </c>
      <c r="H189" s="39">
        <v>5040</v>
      </c>
      <c r="I189" s="18" t="s">
        <v>28</v>
      </c>
    </row>
    <row r="190" spans="1:9" x14ac:dyDescent="0.3">
      <c r="A190" s="18" t="s">
        <v>234</v>
      </c>
      <c r="B190" s="38">
        <v>46311</v>
      </c>
      <c r="C190" s="18" t="s">
        <v>54</v>
      </c>
      <c r="D190" s="18" t="s">
        <v>38</v>
      </c>
      <c r="E190" s="18" t="s">
        <v>27</v>
      </c>
      <c r="F190" s="18">
        <v>7</v>
      </c>
      <c r="G190" s="39">
        <v>22138</v>
      </c>
      <c r="H190" s="39">
        <v>154966</v>
      </c>
      <c r="I190" s="18" t="s">
        <v>33</v>
      </c>
    </row>
    <row r="191" spans="1:9" x14ac:dyDescent="0.3">
      <c r="A191" s="18" t="s">
        <v>235</v>
      </c>
      <c r="B191" s="38">
        <v>46302</v>
      </c>
      <c r="C191" s="18" t="s">
        <v>54</v>
      </c>
      <c r="D191" s="18" t="s">
        <v>36</v>
      </c>
      <c r="E191" s="18" t="s">
        <v>27</v>
      </c>
      <c r="F191" s="18">
        <v>5</v>
      </c>
      <c r="G191" s="39">
        <v>11984</v>
      </c>
      <c r="H191" s="39">
        <v>59920</v>
      </c>
      <c r="I191" s="18" t="s">
        <v>33</v>
      </c>
    </row>
    <row r="192" spans="1:9" x14ac:dyDescent="0.3">
      <c r="A192" s="18" t="s">
        <v>236</v>
      </c>
      <c r="B192" s="38">
        <v>46296</v>
      </c>
      <c r="C192" s="18" t="s">
        <v>56</v>
      </c>
      <c r="D192" s="18" t="s">
        <v>41</v>
      </c>
      <c r="E192" s="18" t="s">
        <v>27</v>
      </c>
      <c r="F192" s="18">
        <v>3</v>
      </c>
      <c r="G192" s="39">
        <v>14958</v>
      </c>
      <c r="H192" s="39">
        <v>44874</v>
      </c>
      <c r="I192" s="18" t="s">
        <v>33</v>
      </c>
    </row>
    <row r="193" spans="1:9" x14ac:dyDescent="0.3">
      <c r="A193" s="18" t="s">
        <v>237</v>
      </c>
      <c r="B193" s="38">
        <v>46303</v>
      </c>
      <c r="C193" s="18" t="s">
        <v>44</v>
      </c>
      <c r="D193" s="18" t="s">
        <v>38</v>
      </c>
      <c r="E193" s="18" t="s">
        <v>32</v>
      </c>
      <c r="F193" s="18">
        <v>1</v>
      </c>
      <c r="G193" s="39">
        <v>3773</v>
      </c>
      <c r="H193" s="39">
        <v>3773</v>
      </c>
      <c r="I193" s="18" t="s">
        <v>33</v>
      </c>
    </row>
    <row r="194" spans="1:9" x14ac:dyDescent="0.3">
      <c r="A194" s="18" t="s">
        <v>238</v>
      </c>
      <c r="B194" s="38">
        <v>46298</v>
      </c>
      <c r="C194" s="18" t="s">
        <v>44</v>
      </c>
      <c r="D194" s="18" t="s">
        <v>31</v>
      </c>
      <c r="E194" s="18" t="s">
        <v>32</v>
      </c>
      <c r="F194" s="18">
        <v>7</v>
      </c>
      <c r="G194" s="39">
        <v>6012</v>
      </c>
      <c r="H194" s="39">
        <v>42084</v>
      </c>
      <c r="I194" s="18" t="s">
        <v>28</v>
      </c>
    </row>
    <row r="195" spans="1:9" x14ac:dyDescent="0.3">
      <c r="A195" s="18" t="s">
        <v>239</v>
      </c>
      <c r="B195" s="38">
        <v>46305</v>
      </c>
      <c r="C195" s="18" t="s">
        <v>30</v>
      </c>
      <c r="D195" s="18" t="s">
        <v>41</v>
      </c>
      <c r="E195" s="18" t="s">
        <v>46</v>
      </c>
      <c r="F195" s="18">
        <v>6</v>
      </c>
      <c r="G195" s="39">
        <v>12463</v>
      </c>
      <c r="H195" s="39">
        <v>74778</v>
      </c>
      <c r="I195" s="18" t="s">
        <v>39</v>
      </c>
    </row>
    <row r="196" spans="1:9" x14ac:dyDescent="0.3">
      <c r="A196" s="18" t="s">
        <v>240</v>
      </c>
      <c r="B196" s="38">
        <v>46310</v>
      </c>
      <c r="C196" s="18" t="s">
        <v>44</v>
      </c>
      <c r="D196" s="18" t="s">
        <v>38</v>
      </c>
      <c r="E196" s="18" t="s">
        <v>32</v>
      </c>
      <c r="F196" s="18">
        <v>2</v>
      </c>
      <c r="G196" s="39">
        <v>2193</v>
      </c>
      <c r="H196" s="39">
        <v>4386</v>
      </c>
      <c r="I196" s="18" t="s">
        <v>33</v>
      </c>
    </row>
    <row r="197" spans="1:9" x14ac:dyDescent="0.3">
      <c r="A197" s="18" t="s">
        <v>241</v>
      </c>
      <c r="B197" s="38">
        <v>46308</v>
      </c>
      <c r="C197" s="18" t="s">
        <v>30</v>
      </c>
      <c r="D197" s="18" t="s">
        <v>41</v>
      </c>
      <c r="E197" s="18" t="s">
        <v>49</v>
      </c>
      <c r="F197" s="18">
        <v>6</v>
      </c>
      <c r="G197" s="39">
        <v>1157</v>
      </c>
      <c r="H197" s="39">
        <v>6942</v>
      </c>
      <c r="I197" s="18" t="s">
        <v>33</v>
      </c>
    </row>
    <row r="198" spans="1:9" x14ac:dyDescent="0.3">
      <c r="A198" s="18" t="s">
        <v>242</v>
      </c>
      <c r="B198" s="38">
        <v>46301</v>
      </c>
      <c r="C198" s="18" t="s">
        <v>30</v>
      </c>
      <c r="D198" s="18" t="s">
        <v>31</v>
      </c>
      <c r="E198" s="18" t="s">
        <v>46</v>
      </c>
      <c r="F198" s="18">
        <v>4</v>
      </c>
      <c r="G198" s="39">
        <v>24096</v>
      </c>
      <c r="H198" s="39">
        <v>96384</v>
      </c>
      <c r="I198" s="18" t="s">
        <v>33</v>
      </c>
    </row>
    <row r="199" spans="1:9" x14ac:dyDescent="0.3">
      <c r="A199" s="18" t="s">
        <v>243</v>
      </c>
      <c r="B199" s="38">
        <v>46300</v>
      </c>
      <c r="C199" s="18" t="s">
        <v>52</v>
      </c>
      <c r="D199" s="18" t="s">
        <v>38</v>
      </c>
      <c r="E199" s="18" t="s">
        <v>27</v>
      </c>
      <c r="F199" s="18">
        <v>5</v>
      </c>
      <c r="G199" s="39">
        <v>8964</v>
      </c>
      <c r="H199" s="39">
        <v>44820</v>
      </c>
      <c r="I199" s="18" t="s">
        <v>33</v>
      </c>
    </row>
    <row r="200" spans="1:9" x14ac:dyDescent="0.3">
      <c r="A200" s="18" t="s">
        <v>244</v>
      </c>
      <c r="B200" s="38">
        <v>46300</v>
      </c>
      <c r="C200" s="18" t="s">
        <v>30</v>
      </c>
      <c r="D200" s="18" t="s">
        <v>36</v>
      </c>
      <c r="E200" s="18" t="s">
        <v>32</v>
      </c>
      <c r="F200" s="18">
        <v>8</v>
      </c>
      <c r="G200" s="39">
        <v>6380</v>
      </c>
      <c r="H200" s="39">
        <v>51040</v>
      </c>
      <c r="I200" s="18" t="s">
        <v>33</v>
      </c>
    </row>
    <row r="201" spans="1:9" x14ac:dyDescent="0.3">
      <c r="A201" s="18" t="s">
        <v>245</v>
      </c>
      <c r="B201" s="38">
        <v>46310</v>
      </c>
      <c r="C201" s="18" t="s">
        <v>44</v>
      </c>
      <c r="D201" s="18" t="s">
        <v>26</v>
      </c>
      <c r="E201" s="18" t="s">
        <v>27</v>
      </c>
      <c r="F201" s="18">
        <v>8</v>
      </c>
      <c r="G201" s="39">
        <v>4737</v>
      </c>
      <c r="H201" s="39">
        <v>37896</v>
      </c>
      <c r="I201" s="18" t="s">
        <v>33</v>
      </c>
    </row>
    <row r="202" spans="1:9" x14ac:dyDescent="0.3">
      <c r="A202" s="18" t="s">
        <v>246</v>
      </c>
      <c r="B202" s="38">
        <v>46305</v>
      </c>
      <c r="C202" s="18" t="s">
        <v>54</v>
      </c>
      <c r="D202" s="18" t="s">
        <v>31</v>
      </c>
      <c r="E202" s="18" t="s">
        <v>46</v>
      </c>
      <c r="F202" s="18">
        <v>6</v>
      </c>
      <c r="G202" s="39">
        <v>34448</v>
      </c>
      <c r="H202" s="39">
        <v>206688</v>
      </c>
      <c r="I202" s="18" t="s">
        <v>33</v>
      </c>
    </row>
    <row r="203" spans="1:9" x14ac:dyDescent="0.3">
      <c r="A203" s="18" t="s">
        <v>247</v>
      </c>
      <c r="B203" s="38">
        <v>46310</v>
      </c>
      <c r="C203" s="18" t="s">
        <v>56</v>
      </c>
      <c r="D203" s="18" t="s">
        <v>38</v>
      </c>
      <c r="E203" s="18" t="s">
        <v>46</v>
      </c>
      <c r="F203" s="18">
        <v>6</v>
      </c>
      <c r="G203" s="39">
        <v>20013</v>
      </c>
      <c r="H203" s="39">
        <v>120078</v>
      </c>
      <c r="I203" s="18" t="s">
        <v>33</v>
      </c>
    </row>
    <row r="204" spans="1:9" x14ac:dyDescent="0.3">
      <c r="A204" s="18" t="s">
        <v>248</v>
      </c>
      <c r="B204" s="38">
        <v>46298</v>
      </c>
      <c r="C204" s="18" t="s">
        <v>62</v>
      </c>
      <c r="D204" s="18" t="s">
        <v>41</v>
      </c>
      <c r="E204" s="18" t="s">
        <v>42</v>
      </c>
      <c r="F204" s="18">
        <v>1</v>
      </c>
      <c r="G204" s="39">
        <v>3784</v>
      </c>
      <c r="H204" s="39">
        <v>3784</v>
      </c>
      <c r="I204" s="18" t="s">
        <v>39</v>
      </c>
    </row>
    <row r="205" spans="1:9" x14ac:dyDescent="0.3">
      <c r="A205" s="18" t="s">
        <v>249</v>
      </c>
      <c r="B205" s="38">
        <v>46302</v>
      </c>
      <c r="C205" s="18" t="s">
        <v>44</v>
      </c>
      <c r="D205" s="18" t="s">
        <v>31</v>
      </c>
      <c r="E205" s="18" t="s">
        <v>32</v>
      </c>
      <c r="F205" s="18">
        <v>3</v>
      </c>
      <c r="G205" s="39">
        <v>706</v>
      </c>
      <c r="H205" s="39">
        <v>2118</v>
      </c>
      <c r="I205" s="18" t="s">
        <v>33</v>
      </c>
    </row>
    <row r="206" spans="1:9" x14ac:dyDescent="0.3">
      <c r="A206" s="18" t="s">
        <v>250</v>
      </c>
      <c r="B206" s="38">
        <v>46306</v>
      </c>
      <c r="C206" s="18" t="s">
        <v>30</v>
      </c>
      <c r="D206" s="18" t="s">
        <v>31</v>
      </c>
      <c r="E206" s="18" t="s">
        <v>27</v>
      </c>
      <c r="F206" s="18">
        <v>1</v>
      </c>
      <c r="G206" s="39">
        <v>10618</v>
      </c>
      <c r="H206" s="39">
        <v>10618</v>
      </c>
      <c r="I206" s="18" t="s">
        <v>28</v>
      </c>
    </row>
    <row r="207" spans="1:9" x14ac:dyDescent="0.3">
      <c r="A207" s="18" t="s">
        <v>251</v>
      </c>
      <c r="B207" s="38">
        <v>46310</v>
      </c>
      <c r="C207" s="18" t="s">
        <v>48</v>
      </c>
      <c r="D207" s="18" t="s">
        <v>26</v>
      </c>
      <c r="E207" s="18" t="s">
        <v>49</v>
      </c>
      <c r="F207" s="18">
        <v>5</v>
      </c>
      <c r="G207" s="39">
        <v>1836</v>
      </c>
      <c r="H207" s="39">
        <v>9180</v>
      </c>
      <c r="I207" s="18" t="s">
        <v>33</v>
      </c>
    </row>
    <row r="208" spans="1:9" x14ac:dyDescent="0.3">
      <c r="A208" s="18" t="s">
        <v>252</v>
      </c>
      <c r="B208" s="38">
        <v>46306</v>
      </c>
      <c r="C208" s="18" t="s">
        <v>25</v>
      </c>
      <c r="D208" s="18" t="s">
        <v>26</v>
      </c>
      <c r="E208" s="18" t="s">
        <v>46</v>
      </c>
      <c r="F208" s="18">
        <v>6</v>
      </c>
      <c r="G208" s="39">
        <v>7393</v>
      </c>
      <c r="H208" s="39">
        <v>44358</v>
      </c>
      <c r="I208" s="18" t="s">
        <v>33</v>
      </c>
    </row>
    <row r="209" spans="1:9" x14ac:dyDescent="0.3">
      <c r="A209" s="18" t="s">
        <v>253</v>
      </c>
      <c r="B209" s="38">
        <v>46308</v>
      </c>
      <c r="C209" s="18" t="s">
        <v>54</v>
      </c>
      <c r="D209" s="18" t="s">
        <v>26</v>
      </c>
      <c r="E209" s="18" t="s">
        <v>42</v>
      </c>
      <c r="F209" s="18">
        <v>3</v>
      </c>
      <c r="G209" s="39">
        <v>2830</v>
      </c>
      <c r="H209" s="39">
        <v>8490</v>
      </c>
      <c r="I209" s="18" t="s">
        <v>33</v>
      </c>
    </row>
    <row r="210" spans="1:9" x14ac:dyDescent="0.3">
      <c r="A210" s="18" t="s">
        <v>254</v>
      </c>
      <c r="B210" s="38">
        <v>46300</v>
      </c>
      <c r="C210" s="18" t="s">
        <v>44</v>
      </c>
      <c r="D210" s="18" t="s">
        <v>26</v>
      </c>
      <c r="E210" s="18" t="s">
        <v>32</v>
      </c>
      <c r="F210" s="18">
        <v>3</v>
      </c>
      <c r="G210" s="39">
        <v>5074</v>
      </c>
      <c r="H210" s="39">
        <v>15222</v>
      </c>
      <c r="I210" s="18" t="s">
        <v>28</v>
      </c>
    </row>
    <row r="211" spans="1:9" x14ac:dyDescent="0.3">
      <c r="A211" s="18" t="s">
        <v>255</v>
      </c>
      <c r="B211" s="38">
        <v>46298</v>
      </c>
      <c r="C211" s="18" t="s">
        <v>54</v>
      </c>
      <c r="D211" s="18" t="s">
        <v>31</v>
      </c>
      <c r="E211" s="18" t="s">
        <v>32</v>
      </c>
      <c r="F211" s="18">
        <v>6</v>
      </c>
      <c r="G211" s="39">
        <v>6861</v>
      </c>
      <c r="H211" s="39">
        <v>41166</v>
      </c>
      <c r="I211" s="18" t="s">
        <v>33</v>
      </c>
    </row>
    <row r="212" spans="1:9" x14ac:dyDescent="0.3">
      <c r="A212" s="18" t="s">
        <v>256</v>
      </c>
      <c r="B212" s="38">
        <v>46312</v>
      </c>
      <c r="C212" s="18" t="s">
        <v>30</v>
      </c>
      <c r="D212" s="18" t="s">
        <v>41</v>
      </c>
      <c r="E212" s="18" t="s">
        <v>42</v>
      </c>
      <c r="F212" s="18">
        <v>6</v>
      </c>
      <c r="G212" s="39">
        <v>249</v>
      </c>
      <c r="H212" s="39">
        <v>1494</v>
      </c>
      <c r="I212" s="18" t="s">
        <v>33</v>
      </c>
    </row>
    <row r="213" spans="1:9" x14ac:dyDescent="0.3">
      <c r="A213" s="18" t="s">
        <v>257</v>
      </c>
      <c r="B213" s="38">
        <v>46301</v>
      </c>
      <c r="C213" s="18" t="s">
        <v>52</v>
      </c>
      <c r="D213" s="18" t="s">
        <v>26</v>
      </c>
      <c r="E213" s="18" t="s">
        <v>32</v>
      </c>
      <c r="F213" s="18">
        <v>4</v>
      </c>
      <c r="G213" s="39">
        <v>2055</v>
      </c>
      <c r="H213" s="39">
        <v>8220</v>
      </c>
      <c r="I213" s="18" t="s">
        <v>79</v>
      </c>
    </row>
    <row r="214" spans="1:9" x14ac:dyDescent="0.3">
      <c r="A214" s="18" t="s">
        <v>258</v>
      </c>
      <c r="B214" s="38">
        <v>46300</v>
      </c>
      <c r="C214" s="18" t="s">
        <v>30</v>
      </c>
      <c r="D214" s="18" t="s">
        <v>26</v>
      </c>
      <c r="E214" s="18" t="s">
        <v>46</v>
      </c>
      <c r="F214" s="18">
        <v>1</v>
      </c>
      <c r="G214" s="39">
        <v>44580</v>
      </c>
      <c r="H214" s="39">
        <v>44580</v>
      </c>
      <c r="I214" s="18" t="s">
        <v>33</v>
      </c>
    </row>
    <row r="215" spans="1:9" x14ac:dyDescent="0.3">
      <c r="A215" s="18" t="s">
        <v>259</v>
      </c>
      <c r="B215" s="38">
        <v>46300</v>
      </c>
      <c r="C215" s="18" t="s">
        <v>62</v>
      </c>
      <c r="D215" s="18" t="s">
        <v>36</v>
      </c>
      <c r="E215" s="18" t="s">
        <v>27</v>
      </c>
      <c r="F215" s="18">
        <v>3</v>
      </c>
      <c r="G215" s="39">
        <v>29741</v>
      </c>
      <c r="H215" s="39">
        <v>89223</v>
      </c>
      <c r="I215" s="18" t="s">
        <v>28</v>
      </c>
    </row>
    <row r="216" spans="1:9" x14ac:dyDescent="0.3">
      <c r="A216" s="18" t="s">
        <v>260</v>
      </c>
      <c r="B216" s="38">
        <v>46301</v>
      </c>
      <c r="C216" s="18" t="s">
        <v>56</v>
      </c>
      <c r="D216" s="18" t="s">
        <v>38</v>
      </c>
      <c r="E216" s="18" t="s">
        <v>32</v>
      </c>
      <c r="F216" s="18">
        <v>6</v>
      </c>
      <c r="G216" s="39">
        <v>5740</v>
      </c>
      <c r="H216" s="39">
        <v>34440</v>
      </c>
      <c r="I216" s="18" t="s">
        <v>28</v>
      </c>
    </row>
    <row r="217" spans="1:9" x14ac:dyDescent="0.3">
      <c r="A217" s="18" t="s">
        <v>261</v>
      </c>
      <c r="B217" s="38">
        <v>46310</v>
      </c>
      <c r="C217" s="18" t="s">
        <v>54</v>
      </c>
      <c r="D217" s="18" t="s">
        <v>41</v>
      </c>
      <c r="E217" s="18" t="s">
        <v>27</v>
      </c>
      <c r="F217" s="18">
        <v>4</v>
      </c>
      <c r="G217" s="39">
        <v>12640</v>
      </c>
      <c r="H217" s="39">
        <v>50560</v>
      </c>
      <c r="I217" s="18" t="s">
        <v>79</v>
      </c>
    </row>
    <row r="218" spans="1:9" x14ac:dyDescent="0.3">
      <c r="A218" s="18" t="s">
        <v>262</v>
      </c>
      <c r="B218" s="38">
        <v>46311</v>
      </c>
      <c r="C218" s="18" t="s">
        <v>52</v>
      </c>
      <c r="D218" s="18" t="s">
        <v>26</v>
      </c>
      <c r="E218" s="18" t="s">
        <v>42</v>
      </c>
      <c r="F218" s="18">
        <v>8</v>
      </c>
      <c r="G218" s="39">
        <v>3882</v>
      </c>
      <c r="H218" s="39">
        <v>31056</v>
      </c>
      <c r="I218" s="18" t="s">
        <v>39</v>
      </c>
    </row>
    <row r="219" spans="1:9" x14ac:dyDescent="0.3">
      <c r="A219" s="18" t="s">
        <v>263</v>
      </c>
      <c r="B219" s="38">
        <v>46308</v>
      </c>
      <c r="C219" s="18" t="s">
        <v>62</v>
      </c>
      <c r="D219" s="18" t="s">
        <v>36</v>
      </c>
      <c r="E219" s="18" t="s">
        <v>27</v>
      </c>
      <c r="F219" s="18">
        <v>3</v>
      </c>
      <c r="G219" s="39">
        <v>10692</v>
      </c>
      <c r="H219" s="39">
        <v>32076</v>
      </c>
      <c r="I219" s="18" t="s">
        <v>33</v>
      </c>
    </row>
    <row r="220" spans="1:9" x14ac:dyDescent="0.3">
      <c r="A220" s="18" t="s">
        <v>264</v>
      </c>
      <c r="B220" s="38">
        <v>46311</v>
      </c>
      <c r="C220" s="18" t="s">
        <v>44</v>
      </c>
      <c r="D220" s="18" t="s">
        <v>31</v>
      </c>
      <c r="E220" s="18" t="s">
        <v>46</v>
      </c>
      <c r="F220" s="18">
        <v>2</v>
      </c>
      <c r="G220" s="39">
        <v>19881</v>
      </c>
      <c r="H220" s="39">
        <v>39762</v>
      </c>
      <c r="I220" s="18" t="s">
        <v>33</v>
      </c>
    </row>
    <row r="221" spans="1:9" x14ac:dyDescent="0.3">
      <c r="A221" s="18" t="s">
        <v>265</v>
      </c>
      <c r="B221" s="38">
        <v>46301</v>
      </c>
      <c r="C221" s="18" t="s">
        <v>54</v>
      </c>
      <c r="D221" s="18" t="s">
        <v>41</v>
      </c>
      <c r="E221" s="18" t="s">
        <v>42</v>
      </c>
      <c r="F221" s="18">
        <v>3</v>
      </c>
      <c r="G221" s="39">
        <v>3683</v>
      </c>
      <c r="H221" s="39">
        <v>11049</v>
      </c>
      <c r="I221" s="18" t="s">
        <v>33</v>
      </c>
    </row>
    <row r="222" spans="1:9" x14ac:dyDescent="0.3">
      <c r="A222" s="18" t="s">
        <v>266</v>
      </c>
      <c r="B222" s="38">
        <v>46303</v>
      </c>
      <c r="C222" s="18" t="s">
        <v>56</v>
      </c>
      <c r="D222" s="18" t="s">
        <v>26</v>
      </c>
      <c r="E222" s="18" t="s">
        <v>46</v>
      </c>
      <c r="F222" s="18">
        <v>7</v>
      </c>
      <c r="G222" s="39">
        <v>4690</v>
      </c>
      <c r="H222" s="39">
        <v>32830</v>
      </c>
      <c r="I222" s="18" t="s">
        <v>33</v>
      </c>
    </row>
    <row r="223" spans="1:9" x14ac:dyDescent="0.3">
      <c r="A223" s="18" t="s">
        <v>267</v>
      </c>
      <c r="B223" s="38">
        <v>46307</v>
      </c>
      <c r="C223" s="18" t="s">
        <v>52</v>
      </c>
      <c r="D223" s="18" t="s">
        <v>41</v>
      </c>
      <c r="E223" s="18" t="s">
        <v>46</v>
      </c>
      <c r="F223" s="18">
        <v>6</v>
      </c>
      <c r="G223" s="39">
        <v>15915</v>
      </c>
      <c r="H223" s="39">
        <v>95490</v>
      </c>
      <c r="I223" s="18" t="s">
        <v>33</v>
      </c>
    </row>
    <row r="224" spans="1:9" x14ac:dyDescent="0.3">
      <c r="A224" s="18" t="s">
        <v>268</v>
      </c>
      <c r="B224" s="38">
        <v>46299</v>
      </c>
      <c r="C224" s="18" t="s">
        <v>44</v>
      </c>
      <c r="D224" s="18" t="s">
        <v>36</v>
      </c>
      <c r="E224" s="18" t="s">
        <v>27</v>
      </c>
      <c r="F224" s="18">
        <v>1</v>
      </c>
      <c r="G224" s="39">
        <v>11900</v>
      </c>
      <c r="H224" s="39">
        <v>11900</v>
      </c>
      <c r="I224" s="18" t="s">
        <v>39</v>
      </c>
    </row>
    <row r="225" spans="1:9" x14ac:dyDescent="0.3">
      <c r="A225" s="18" t="s">
        <v>269</v>
      </c>
      <c r="B225" s="38">
        <v>46311</v>
      </c>
      <c r="C225" s="18" t="s">
        <v>48</v>
      </c>
      <c r="D225" s="18" t="s">
        <v>41</v>
      </c>
      <c r="E225" s="18" t="s">
        <v>32</v>
      </c>
      <c r="F225" s="18">
        <v>1</v>
      </c>
      <c r="G225" s="39">
        <v>7620</v>
      </c>
      <c r="H225" s="39">
        <v>7620</v>
      </c>
      <c r="I225" s="18" t="s">
        <v>33</v>
      </c>
    </row>
    <row r="226" spans="1:9" x14ac:dyDescent="0.3">
      <c r="A226" s="18" t="s">
        <v>270</v>
      </c>
      <c r="B226" s="38">
        <v>46304</v>
      </c>
      <c r="C226" s="18" t="s">
        <v>52</v>
      </c>
      <c r="D226" s="18" t="s">
        <v>36</v>
      </c>
      <c r="E226" s="18" t="s">
        <v>42</v>
      </c>
      <c r="F226" s="18">
        <v>7</v>
      </c>
      <c r="G226" s="39">
        <v>1010</v>
      </c>
      <c r="H226" s="39">
        <v>7070</v>
      </c>
      <c r="I226" s="18" t="s">
        <v>39</v>
      </c>
    </row>
    <row r="227" spans="1:9" x14ac:dyDescent="0.3">
      <c r="A227" s="18" t="s">
        <v>271</v>
      </c>
      <c r="B227" s="38">
        <v>46303</v>
      </c>
      <c r="C227" s="18" t="s">
        <v>54</v>
      </c>
      <c r="D227" s="18" t="s">
        <v>38</v>
      </c>
      <c r="E227" s="18" t="s">
        <v>46</v>
      </c>
      <c r="F227" s="18">
        <v>4</v>
      </c>
      <c r="G227" s="39">
        <v>28713</v>
      </c>
      <c r="H227" s="39">
        <v>114852</v>
      </c>
      <c r="I227" s="18" t="s">
        <v>28</v>
      </c>
    </row>
    <row r="228" spans="1:9" x14ac:dyDescent="0.3">
      <c r="A228" s="18" t="s">
        <v>272</v>
      </c>
      <c r="B228" s="38">
        <v>46310</v>
      </c>
      <c r="C228" s="18" t="s">
        <v>30</v>
      </c>
      <c r="D228" s="18" t="s">
        <v>38</v>
      </c>
      <c r="E228" s="18" t="s">
        <v>32</v>
      </c>
      <c r="F228" s="18">
        <v>1</v>
      </c>
      <c r="G228" s="39">
        <v>5376</v>
      </c>
      <c r="H228" s="39">
        <v>5376</v>
      </c>
      <c r="I228" s="18" t="s">
        <v>33</v>
      </c>
    </row>
    <row r="229" spans="1:9" x14ac:dyDescent="0.3">
      <c r="A229" s="18" t="s">
        <v>273</v>
      </c>
      <c r="B229" s="38">
        <v>46303</v>
      </c>
      <c r="C229" s="18" t="s">
        <v>48</v>
      </c>
      <c r="D229" s="18" t="s">
        <v>26</v>
      </c>
      <c r="E229" s="18" t="s">
        <v>32</v>
      </c>
      <c r="F229" s="18">
        <v>1</v>
      </c>
      <c r="G229" s="39">
        <v>5236</v>
      </c>
      <c r="H229" s="39">
        <v>5236</v>
      </c>
      <c r="I229" s="18" t="s">
        <v>33</v>
      </c>
    </row>
    <row r="230" spans="1:9" x14ac:dyDescent="0.3">
      <c r="A230" s="18" t="s">
        <v>274</v>
      </c>
      <c r="B230" s="38">
        <v>46309</v>
      </c>
      <c r="C230" s="18" t="s">
        <v>48</v>
      </c>
      <c r="D230" s="18" t="s">
        <v>38</v>
      </c>
      <c r="E230" s="18" t="s">
        <v>42</v>
      </c>
      <c r="F230" s="18">
        <v>6</v>
      </c>
      <c r="G230" s="39">
        <v>654</v>
      </c>
      <c r="H230" s="39">
        <v>3924</v>
      </c>
      <c r="I230" s="18" t="s">
        <v>79</v>
      </c>
    </row>
    <row r="231" spans="1:9" x14ac:dyDescent="0.3">
      <c r="A231" s="18" t="s">
        <v>275</v>
      </c>
      <c r="B231" s="38">
        <v>46313</v>
      </c>
      <c r="C231" s="18" t="s">
        <v>25</v>
      </c>
      <c r="D231" s="18" t="s">
        <v>41</v>
      </c>
      <c r="E231" s="18" t="s">
        <v>32</v>
      </c>
      <c r="F231" s="18">
        <v>1</v>
      </c>
      <c r="G231" s="39">
        <v>5407</v>
      </c>
      <c r="H231" s="39">
        <v>5407</v>
      </c>
      <c r="I231" s="18" t="s">
        <v>33</v>
      </c>
    </row>
    <row r="232" spans="1:9" x14ac:dyDescent="0.3">
      <c r="A232" s="18" t="s">
        <v>276</v>
      </c>
      <c r="B232" s="38">
        <v>46307</v>
      </c>
      <c r="C232" s="18" t="s">
        <v>54</v>
      </c>
      <c r="D232" s="18" t="s">
        <v>38</v>
      </c>
      <c r="E232" s="18" t="s">
        <v>49</v>
      </c>
      <c r="F232" s="18">
        <v>2</v>
      </c>
      <c r="G232" s="39">
        <v>1662</v>
      </c>
      <c r="H232" s="39">
        <v>3324</v>
      </c>
      <c r="I232" s="18" t="s">
        <v>33</v>
      </c>
    </row>
    <row r="233" spans="1:9" x14ac:dyDescent="0.3">
      <c r="A233" s="18" t="s">
        <v>277</v>
      </c>
      <c r="B233" s="38">
        <v>46299</v>
      </c>
      <c r="C233" s="18" t="s">
        <v>44</v>
      </c>
      <c r="D233" s="18" t="s">
        <v>36</v>
      </c>
      <c r="E233" s="18" t="s">
        <v>46</v>
      </c>
      <c r="F233" s="18">
        <v>6</v>
      </c>
      <c r="G233" s="39">
        <v>36983</v>
      </c>
      <c r="H233" s="39">
        <v>221898</v>
      </c>
      <c r="I233" s="18" t="s">
        <v>33</v>
      </c>
    </row>
    <row r="234" spans="1:9" x14ac:dyDescent="0.3">
      <c r="A234" s="18" t="s">
        <v>278</v>
      </c>
      <c r="B234" s="38">
        <v>46301</v>
      </c>
      <c r="C234" s="18" t="s">
        <v>56</v>
      </c>
      <c r="D234" s="18" t="s">
        <v>41</v>
      </c>
      <c r="E234" s="18" t="s">
        <v>27</v>
      </c>
      <c r="F234" s="18">
        <v>3</v>
      </c>
      <c r="G234" s="39">
        <v>4567</v>
      </c>
      <c r="H234" s="39">
        <v>13701</v>
      </c>
      <c r="I234" s="18" t="s">
        <v>28</v>
      </c>
    </row>
    <row r="235" spans="1:9" x14ac:dyDescent="0.3">
      <c r="A235" s="18" t="s">
        <v>279</v>
      </c>
      <c r="B235" s="38">
        <v>46310</v>
      </c>
      <c r="C235" s="18" t="s">
        <v>25</v>
      </c>
      <c r="D235" s="18" t="s">
        <v>26</v>
      </c>
      <c r="E235" s="18" t="s">
        <v>27</v>
      </c>
      <c r="F235" s="18">
        <v>1</v>
      </c>
      <c r="G235" s="39">
        <v>28423</v>
      </c>
      <c r="H235" s="39">
        <v>28423</v>
      </c>
      <c r="I235" s="18" t="s">
        <v>33</v>
      </c>
    </row>
    <row r="236" spans="1:9" x14ac:dyDescent="0.3">
      <c r="A236" s="18" t="s">
        <v>280</v>
      </c>
      <c r="B236" s="38">
        <v>46297</v>
      </c>
      <c r="C236" s="18" t="s">
        <v>44</v>
      </c>
      <c r="D236" s="18" t="s">
        <v>26</v>
      </c>
      <c r="E236" s="18" t="s">
        <v>42</v>
      </c>
      <c r="F236" s="18">
        <v>7</v>
      </c>
      <c r="G236" s="39">
        <v>4548</v>
      </c>
      <c r="H236" s="39">
        <v>31836</v>
      </c>
      <c r="I236" s="18" t="s">
        <v>33</v>
      </c>
    </row>
    <row r="237" spans="1:9" x14ac:dyDescent="0.3">
      <c r="A237" s="18" t="s">
        <v>281</v>
      </c>
      <c r="B237" s="38">
        <v>46297</v>
      </c>
      <c r="C237" s="18" t="s">
        <v>52</v>
      </c>
      <c r="D237" s="18" t="s">
        <v>26</v>
      </c>
      <c r="E237" s="18" t="s">
        <v>49</v>
      </c>
      <c r="F237" s="18">
        <v>1</v>
      </c>
      <c r="G237" s="39">
        <v>2935</v>
      </c>
      <c r="H237" s="39">
        <v>2935</v>
      </c>
      <c r="I237" s="18" t="s">
        <v>33</v>
      </c>
    </row>
    <row r="238" spans="1:9" x14ac:dyDescent="0.3">
      <c r="A238" s="18" t="s">
        <v>282</v>
      </c>
      <c r="B238" s="38">
        <v>46299</v>
      </c>
      <c r="C238" s="18" t="s">
        <v>44</v>
      </c>
      <c r="D238" s="18" t="s">
        <v>41</v>
      </c>
      <c r="E238" s="18" t="s">
        <v>32</v>
      </c>
      <c r="F238" s="18">
        <v>8</v>
      </c>
      <c r="G238" s="39">
        <v>7528</v>
      </c>
      <c r="H238" s="39">
        <v>60224</v>
      </c>
      <c r="I238" s="18" t="s">
        <v>79</v>
      </c>
    </row>
    <row r="239" spans="1:9" x14ac:dyDescent="0.3">
      <c r="A239" s="18" t="s">
        <v>283</v>
      </c>
      <c r="B239" s="38">
        <v>46306</v>
      </c>
      <c r="C239" s="18" t="s">
        <v>48</v>
      </c>
      <c r="D239" s="18" t="s">
        <v>41</v>
      </c>
      <c r="E239" s="18" t="s">
        <v>32</v>
      </c>
      <c r="F239" s="18">
        <v>6</v>
      </c>
      <c r="G239" s="39">
        <v>7771</v>
      </c>
      <c r="H239" s="39">
        <v>46626</v>
      </c>
      <c r="I239" s="18" t="s">
        <v>39</v>
      </c>
    </row>
    <row r="240" spans="1:9" x14ac:dyDescent="0.3">
      <c r="A240" s="18" t="s">
        <v>284</v>
      </c>
      <c r="B240" s="38">
        <v>46304</v>
      </c>
      <c r="C240" s="18" t="s">
        <v>30</v>
      </c>
      <c r="D240" s="18" t="s">
        <v>41</v>
      </c>
      <c r="E240" s="18" t="s">
        <v>46</v>
      </c>
      <c r="F240" s="18">
        <v>7</v>
      </c>
      <c r="G240" s="39">
        <v>40682</v>
      </c>
      <c r="H240" s="39">
        <v>284774</v>
      </c>
      <c r="I240" s="18" t="s">
        <v>79</v>
      </c>
    </row>
    <row r="241" spans="1:9" x14ac:dyDescent="0.3">
      <c r="A241" s="18" t="s">
        <v>285</v>
      </c>
      <c r="B241" s="38">
        <v>46301</v>
      </c>
      <c r="C241" s="18" t="s">
        <v>54</v>
      </c>
      <c r="D241" s="18" t="s">
        <v>26</v>
      </c>
      <c r="E241" s="18" t="s">
        <v>46</v>
      </c>
      <c r="F241" s="18">
        <v>2</v>
      </c>
      <c r="G241" s="39">
        <v>22690</v>
      </c>
      <c r="H241" s="39">
        <v>45380</v>
      </c>
      <c r="I241" s="18" t="s">
        <v>28</v>
      </c>
    </row>
    <row r="242" spans="1:9" x14ac:dyDescent="0.3">
      <c r="A242" s="18" t="s">
        <v>286</v>
      </c>
      <c r="B242" s="38">
        <v>46305</v>
      </c>
      <c r="C242" s="18" t="s">
        <v>56</v>
      </c>
      <c r="D242" s="18" t="s">
        <v>31</v>
      </c>
      <c r="E242" s="18" t="s">
        <v>32</v>
      </c>
      <c r="F242" s="18">
        <v>3</v>
      </c>
      <c r="G242" s="39">
        <v>5850</v>
      </c>
      <c r="H242" s="39">
        <v>17550</v>
      </c>
      <c r="I242" s="18" t="s">
        <v>33</v>
      </c>
    </row>
    <row r="243" spans="1:9" x14ac:dyDescent="0.3">
      <c r="A243" s="18" t="s">
        <v>287</v>
      </c>
      <c r="B243" s="38">
        <v>46310</v>
      </c>
      <c r="C243" s="18" t="s">
        <v>25</v>
      </c>
      <c r="D243" s="18" t="s">
        <v>26</v>
      </c>
      <c r="E243" s="18" t="s">
        <v>42</v>
      </c>
      <c r="F243" s="18">
        <v>7</v>
      </c>
      <c r="G243" s="39">
        <v>2349</v>
      </c>
      <c r="H243" s="39">
        <v>16443</v>
      </c>
      <c r="I243" s="18" t="s">
        <v>28</v>
      </c>
    </row>
    <row r="244" spans="1:9" x14ac:dyDescent="0.3">
      <c r="A244" s="18" t="s">
        <v>288</v>
      </c>
      <c r="B244" s="38">
        <v>46297</v>
      </c>
      <c r="C244" s="18" t="s">
        <v>30</v>
      </c>
      <c r="D244" s="18" t="s">
        <v>41</v>
      </c>
      <c r="E244" s="18" t="s">
        <v>49</v>
      </c>
      <c r="F244" s="18">
        <v>3</v>
      </c>
      <c r="G244" s="39">
        <v>377</v>
      </c>
      <c r="H244" s="39">
        <v>1131</v>
      </c>
      <c r="I244" s="18" t="s">
        <v>33</v>
      </c>
    </row>
    <row r="245" spans="1:9" x14ac:dyDescent="0.3">
      <c r="A245" s="18" t="s">
        <v>289</v>
      </c>
      <c r="B245" s="38">
        <v>46310</v>
      </c>
      <c r="C245" s="18" t="s">
        <v>25</v>
      </c>
      <c r="D245" s="18" t="s">
        <v>36</v>
      </c>
      <c r="E245" s="18" t="s">
        <v>46</v>
      </c>
      <c r="F245" s="18">
        <v>4</v>
      </c>
      <c r="G245" s="39">
        <v>43481</v>
      </c>
      <c r="H245" s="39">
        <v>173924</v>
      </c>
      <c r="I245" s="18" t="s">
        <v>33</v>
      </c>
    </row>
    <row r="246" spans="1:9" x14ac:dyDescent="0.3">
      <c r="A246" s="18" t="s">
        <v>290</v>
      </c>
      <c r="B246" s="38">
        <v>46308</v>
      </c>
      <c r="C246" s="18" t="s">
        <v>25</v>
      </c>
      <c r="D246" s="18" t="s">
        <v>31</v>
      </c>
      <c r="E246" s="18" t="s">
        <v>27</v>
      </c>
      <c r="F246" s="18">
        <v>8</v>
      </c>
      <c r="G246" s="39">
        <v>14655</v>
      </c>
      <c r="H246" s="39">
        <v>117240</v>
      </c>
      <c r="I246" s="18" t="s">
        <v>33</v>
      </c>
    </row>
    <row r="247" spans="1:9" x14ac:dyDescent="0.3">
      <c r="A247" s="18" t="s">
        <v>291</v>
      </c>
      <c r="B247" s="38">
        <v>46298</v>
      </c>
      <c r="C247" s="18" t="s">
        <v>48</v>
      </c>
      <c r="D247" s="18" t="s">
        <v>31</v>
      </c>
      <c r="E247" s="18" t="s">
        <v>49</v>
      </c>
      <c r="F247" s="18">
        <v>7</v>
      </c>
      <c r="G247" s="39">
        <v>1537</v>
      </c>
      <c r="H247" s="39">
        <v>10759</v>
      </c>
      <c r="I247" s="18" t="s">
        <v>28</v>
      </c>
    </row>
    <row r="248" spans="1:9" x14ac:dyDescent="0.3">
      <c r="A248" s="18" t="s">
        <v>292</v>
      </c>
      <c r="B248" s="38">
        <v>46303</v>
      </c>
      <c r="C248" s="18" t="s">
        <v>30</v>
      </c>
      <c r="D248" s="18" t="s">
        <v>38</v>
      </c>
      <c r="E248" s="18" t="s">
        <v>27</v>
      </c>
      <c r="F248" s="18">
        <v>8</v>
      </c>
      <c r="G248" s="39">
        <v>19465</v>
      </c>
      <c r="H248" s="39">
        <v>155720</v>
      </c>
      <c r="I248" s="18" t="s">
        <v>33</v>
      </c>
    </row>
    <row r="249" spans="1:9" x14ac:dyDescent="0.3">
      <c r="A249" s="18" t="s">
        <v>293</v>
      </c>
      <c r="B249" s="38">
        <v>46313</v>
      </c>
      <c r="C249" s="18" t="s">
        <v>30</v>
      </c>
      <c r="D249" s="18" t="s">
        <v>26</v>
      </c>
      <c r="E249" s="18" t="s">
        <v>49</v>
      </c>
      <c r="F249" s="18">
        <v>8</v>
      </c>
      <c r="G249" s="39">
        <v>1128</v>
      </c>
      <c r="H249" s="39">
        <v>9024</v>
      </c>
      <c r="I249" s="18" t="s">
        <v>79</v>
      </c>
    </row>
    <row r="250" spans="1:9" x14ac:dyDescent="0.3">
      <c r="A250" s="18" t="s">
        <v>294</v>
      </c>
      <c r="B250" s="38">
        <v>46305</v>
      </c>
      <c r="C250" s="18" t="s">
        <v>56</v>
      </c>
      <c r="D250" s="18" t="s">
        <v>36</v>
      </c>
      <c r="E250" s="18" t="s">
        <v>46</v>
      </c>
      <c r="F250" s="18">
        <v>3</v>
      </c>
      <c r="G250" s="39">
        <v>6053</v>
      </c>
      <c r="H250" s="39">
        <v>18159</v>
      </c>
      <c r="I250" s="18" t="s">
        <v>33</v>
      </c>
    </row>
    <row r="251" spans="1:9" x14ac:dyDescent="0.3">
      <c r="A251" s="18" t="s">
        <v>295</v>
      </c>
      <c r="B251" s="38">
        <v>46310</v>
      </c>
      <c r="C251" s="18" t="s">
        <v>30</v>
      </c>
      <c r="D251" s="18" t="s">
        <v>26</v>
      </c>
      <c r="E251" s="18" t="s">
        <v>49</v>
      </c>
      <c r="F251" s="18">
        <v>2</v>
      </c>
      <c r="G251" s="39">
        <v>2502</v>
      </c>
      <c r="H251" s="39">
        <v>5004</v>
      </c>
      <c r="I251" s="18" t="s">
        <v>33</v>
      </c>
    </row>
    <row r="252" spans="1:9" x14ac:dyDescent="0.3">
      <c r="A252" s="18" t="s">
        <v>296</v>
      </c>
      <c r="B252" s="38">
        <v>46305</v>
      </c>
      <c r="C252" s="18" t="s">
        <v>48</v>
      </c>
      <c r="D252" s="18" t="s">
        <v>36</v>
      </c>
      <c r="E252" s="18" t="s">
        <v>49</v>
      </c>
      <c r="F252" s="18">
        <v>4</v>
      </c>
      <c r="G252" s="39">
        <v>747</v>
      </c>
      <c r="H252" s="39">
        <v>2988</v>
      </c>
      <c r="I252" s="18" t="s">
        <v>79</v>
      </c>
    </row>
    <row r="253" spans="1:9" x14ac:dyDescent="0.3">
      <c r="A253" s="18" t="s">
        <v>297</v>
      </c>
      <c r="B253" s="38">
        <v>46300</v>
      </c>
      <c r="C253" s="18" t="s">
        <v>52</v>
      </c>
      <c r="D253" s="18" t="s">
        <v>41</v>
      </c>
      <c r="E253" s="18" t="s">
        <v>46</v>
      </c>
      <c r="F253" s="18">
        <v>6</v>
      </c>
      <c r="G253" s="39">
        <v>37508</v>
      </c>
      <c r="H253" s="39">
        <v>225048</v>
      </c>
      <c r="I253" s="18" t="s">
        <v>33</v>
      </c>
    </row>
    <row r="254" spans="1:9" x14ac:dyDescent="0.3">
      <c r="A254" s="18" t="s">
        <v>298</v>
      </c>
      <c r="B254" s="38">
        <v>46310</v>
      </c>
      <c r="C254" s="18" t="s">
        <v>48</v>
      </c>
      <c r="D254" s="18" t="s">
        <v>31</v>
      </c>
      <c r="E254" s="18" t="s">
        <v>46</v>
      </c>
      <c r="F254" s="18">
        <v>2</v>
      </c>
      <c r="G254" s="39">
        <v>21469</v>
      </c>
      <c r="H254" s="39">
        <v>42938</v>
      </c>
      <c r="I254" s="18" t="s">
        <v>33</v>
      </c>
    </row>
    <row r="255" spans="1:9" x14ac:dyDescent="0.3">
      <c r="A255" s="18" t="s">
        <v>299</v>
      </c>
      <c r="B255" s="38">
        <v>46311</v>
      </c>
      <c r="C255" s="18" t="s">
        <v>62</v>
      </c>
      <c r="D255" s="18" t="s">
        <v>41</v>
      </c>
      <c r="E255" s="18" t="s">
        <v>42</v>
      </c>
      <c r="F255" s="18">
        <v>2</v>
      </c>
      <c r="G255" s="39">
        <v>1126</v>
      </c>
      <c r="H255" s="39">
        <v>2252</v>
      </c>
      <c r="I255" s="18" t="s">
        <v>79</v>
      </c>
    </row>
    <row r="256" spans="1:9" x14ac:dyDescent="0.3">
      <c r="A256" s="18" t="s">
        <v>300</v>
      </c>
      <c r="B256" s="38">
        <v>46298</v>
      </c>
      <c r="C256" s="18" t="s">
        <v>56</v>
      </c>
      <c r="D256" s="18" t="s">
        <v>41</v>
      </c>
      <c r="E256" s="18" t="s">
        <v>42</v>
      </c>
      <c r="F256" s="18">
        <v>6</v>
      </c>
      <c r="G256" s="39">
        <v>1151</v>
      </c>
      <c r="H256" s="39">
        <v>6906</v>
      </c>
      <c r="I256" s="18" t="s">
        <v>39</v>
      </c>
    </row>
    <row r="257" spans="1:9" x14ac:dyDescent="0.3">
      <c r="A257" s="18" t="s">
        <v>301</v>
      </c>
      <c r="B257" s="38">
        <v>46313</v>
      </c>
      <c r="C257" s="18" t="s">
        <v>48</v>
      </c>
      <c r="D257" s="18" t="s">
        <v>36</v>
      </c>
      <c r="E257" s="18" t="s">
        <v>32</v>
      </c>
      <c r="F257" s="18">
        <v>1</v>
      </c>
      <c r="G257" s="39">
        <v>7010</v>
      </c>
      <c r="H257" s="39">
        <v>7010</v>
      </c>
      <c r="I257" s="18" t="s">
        <v>33</v>
      </c>
    </row>
    <row r="258" spans="1:9" x14ac:dyDescent="0.3">
      <c r="A258" s="18" t="s">
        <v>302</v>
      </c>
      <c r="B258" s="38">
        <v>46300</v>
      </c>
      <c r="C258" s="18" t="s">
        <v>54</v>
      </c>
      <c r="D258" s="18" t="s">
        <v>36</v>
      </c>
      <c r="E258" s="18" t="s">
        <v>27</v>
      </c>
      <c r="F258" s="18">
        <v>6</v>
      </c>
      <c r="G258" s="39">
        <v>25743</v>
      </c>
      <c r="H258" s="39">
        <v>154458</v>
      </c>
      <c r="I258" s="18" t="s">
        <v>33</v>
      </c>
    </row>
    <row r="259" spans="1:9" x14ac:dyDescent="0.3">
      <c r="A259" s="18" t="s">
        <v>303</v>
      </c>
      <c r="B259" s="38">
        <v>46312</v>
      </c>
      <c r="C259" s="18" t="s">
        <v>54</v>
      </c>
      <c r="D259" s="18" t="s">
        <v>38</v>
      </c>
      <c r="E259" s="18" t="s">
        <v>49</v>
      </c>
      <c r="F259" s="18">
        <v>4</v>
      </c>
      <c r="G259" s="39">
        <v>2851</v>
      </c>
      <c r="H259" s="39">
        <v>11404</v>
      </c>
      <c r="I259" s="18" t="s">
        <v>79</v>
      </c>
    </row>
    <row r="260" spans="1:9" x14ac:dyDescent="0.3">
      <c r="A260" s="18" t="s">
        <v>304</v>
      </c>
      <c r="B260" s="38">
        <v>46304</v>
      </c>
      <c r="C260" s="18" t="s">
        <v>48</v>
      </c>
      <c r="D260" s="18" t="s">
        <v>26</v>
      </c>
      <c r="E260" s="18" t="s">
        <v>42</v>
      </c>
      <c r="F260" s="18">
        <v>2</v>
      </c>
      <c r="G260" s="39">
        <v>4217</v>
      </c>
      <c r="H260" s="39">
        <v>8434</v>
      </c>
      <c r="I260" s="18" t="s">
        <v>28</v>
      </c>
    </row>
    <row r="261" spans="1:9" x14ac:dyDescent="0.3">
      <c r="A261" s="18" t="s">
        <v>305</v>
      </c>
      <c r="B261" s="38">
        <v>46300</v>
      </c>
      <c r="C261" s="18" t="s">
        <v>48</v>
      </c>
      <c r="D261" s="18" t="s">
        <v>31</v>
      </c>
      <c r="E261" s="18" t="s">
        <v>42</v>
      </c>
      <c r="F261" s="18">
        <v>6</v>
      </c>
      <c r="G261" s="39">
        <v>4717</v>
      </c>
      <c r="H261" s="39">
        <v>28302</v>
      </c>
      <c r="I261" s="18" t="s">
        <v>33</v>
      </c>
    </row>
    <row r="262" spans="1:9" x14ac:dyDescent="0.3">
      <c r="A262" s="18" t="s">
        <v>306</v>
      </c>
      <c r="B262" s="38">
        <v>46296</v>
      </c>
      <c r="C262" s="18" t="s">
        <v>30</v>
      </c>
      <c r="D262" s="18" t="s">
        <v>38</v>
      </c>
      <c r="E262" s="18" t="s">
        <v>42</v>
      </c>
      <c r="F262" s="18">
        <v>5</v>
      </c>
      <c r="G262" s="39">
        <v>5434</v>
      </c>
      <c r="H262" s="39">
        <v>27170</v>
      </c>
      <c r="I262" s="18" t="s">
        <v>33</v>
      </c>
    </row>
    <row r="263" spans="1:9" x14ac:dyDescent="0.3">
      <c r="A263" s="18" t="s">
        <v>307</v>
      </c>
      <c r="B263" s="38">
        <v>46309</v>
      </c>
      <c r="C263" s="18" t="s">
        <v>25</v>
      </c>
      <c r="D263" s="18" t="s">
        <v>41</v>
      </c>
      <c r="E263" s="18" t="s">
        <v>42</v>
      </c>
      <c r="F263" s="18">
        <v>5</v>
      </c>
      <c r="G263" s="39">
        <v>5358</v>
      </c>
      <c r="H263" s="39">
        <v>26790</v>
      </c>
      <c r="I263" s="18" t="s">
        <v>79</v>
      </c>
    </row>
    <row r="264" spans="1:9" x14ac:dyDescent="0.3">
      <c r="A264" s="18" t="s">
        <v>308</v>
      </c>
      <c r="B264" s="38">
        <v>46311</v>
      </c>
      <c r="C264" s="18" t="s">
        <v>52</v>
      </c>
      <c r="D264" s="18" t="s">
        <v>41</v>
      </c>
      <c r="E264" s="18" t="s">
        <v>49</v>
      </c>
      <c r="F264" s="18">
        <v>8</v>
      </c>
      <c r="G264" s="39">
        <v>548</v>
      </c>
      <c r="H264" s="39">
        <v>4384</v>
      </c>
      <c r="I264" s="18" t="s">
        <v>28</v>
      </c>
    </row>
    <row r="265" spans="1:9" x14ac:dyDescent="0.3">
      <c r="A265" s="18" t="s">
        <v>309</v>
      </c>
      <c r="B265" s="38">
        <v>46301</v>
      </c>
      <c r="C265" s="18" t="s">
        <v>56</v>
      </c>
      <c r="D265" s="18" t="s">
        <v>41</v>
      </c>
      <c r="E265" s="18" t="s">
        <v>32</v>
      </c>
      <c r="F265" s="18">
        <v>8</v>
      </c>
      <c r="G265" s="39">
        <v>1871</v>
      </c>
      <c r="H265" s="39">
        <v>14968</v>
      </c>
      <c r="I265" s="18" t="s">
        <v>33</v>
      </c>
    </row>
    <row r="266" spans="1:9" x14ac:dyDescent="0.3">
      <c r="A266" s="18" t="s">
        <v>310</v>
      </c>
      <c r="B266" s="38">
        <v>46300</v>
      </c>
      <c r="C266" s="18" t="s">
        <v>44</v>
      </c>
      <c r="D266" s="18" t="s">
        <v>26</v>
      </c>
      <c r="E266" s="18" t="s">
        <v>49</v>
      </c>
      <c r="F266" s="18">
        <v>7</v>
      </c>
      <c r="G266" s="39">
        <v>785</v>
      </c>
      <c r="H266" s="39">
        <v>5495</v>
      </c>
      <c r="I266" s="18" t="s">
        <v>39</v>
      </c>
    </row>
    <row r="267" spans="1:9" x14ac:dyDescent="0.3">
      <c r="A267" s="18" t="s">
        <v>311</v>
      </c>
      <c r="B267" s="38">
        <v>46312</v>
      </c>
      <c r="C267" s="18" t="s">
        <v>30</v>
      </c>
      <c r="D267" s="18" t="s">
        <v>26</v>
      </c>
      <c r="E267" s="18" t="s">
        <v>27</v>
      </c>
      <c r="F267" s="18">
        <v>8</v>
      </c>
      <c r="G267" s="39">
        <v>6514</v>
      </c>
      <c r="H267" s="39">
        <v>52112</v>
      </c>
      <c r="I267" s="18" t="s">
        <v>33</v>
      </c>
    </row>
    <row r="268" spans="1:9" x14ac:dyDescent="0.3">
      <c r="A268" s="18" t="s">
        <v>312</v>
      </c>
      <c r="B268" s="38">
        <v>46303</v>
      </c>
      <c r="C268" s="18" t="s">
        <v>48</v>
      </c>
      <c r="D268" s="18" t="s">
        <v>38</v>
      </c>
      <c r="E268" s="18" t="s">
        <v>46</v>
      </c>
      <c r="F268" s="18">
        <v>5</v>
      </c>
      <c r="G268" s="39">
        <v>26375</v>
      </c>
      <c r="H268" s="39">
        <v>131875</v>
      </c>
      <c r="I268" s="18" t="s">
        <v>39</v>
      </c>
    </row>
    <row r="269" spans="1:9" x14ac:dyDescent="0.3">
      <c r="A269" s="18" t="s">
        <v>313</v>
      </c>
      <c r="B269" s="38">
        <v>46309</v>
      </c>
      <c r="C269" s="18" t="s">
        <v>52</v>
      </c>
      <c r="D269" s="18" t="s">
        <v>36</v>
      </c>
      <c r="E269" s="18" t="s">
        <v>49</v>
      </c>
      <c r="F269" s="18">
        <v>6</v>
      </c>
      <c r="G269" s="39">
        <v>1027</v>
      </c>
      <c r="H269" s="39">
        <v>6162</v>
      </c>
      <c r="I269" s="18" t="s">
        <v>39</v>
      </c>
    </row>
    <row r="270" spans="1:9" x14ac:dyDescent="0.3">
      <c r="A270" s="18" t="s">
        <v>314</v>
      </c>
      <c r="B270" s="38">
        <v>46311</v>
      </c>
      <c r="C270" s="18" t="s">
        <v>56</v>
      </c>
      <c r="D270" s="18" t="s">
        <v>41</v>
      </c>
      <c r="E270" s="18" t="s">
        <v>49</v>
      </c>
      <c r="F270" s="18">
        <v>8</v>
      </c>
      <c r="G270" s="39">
        <v>344</v>
      </c>
      <c r="H270" s="39">
        <v>2752</v>
      </c>
      <c r="I270" s="18" t="s">
        <v>33</v>
      </c>
    </row>
    <row r="271" spans="1:9" x14ac:dyDescent="0.3">
      <c r="A271" s="18" t="s">
        <v>315</v>
      </c>
      <c r="B271" s="38">
        <v>46308</v>
      </c>
      <c r="C271" s="18" t="s">
        <v>56</v>
      </c>
      <c r="D271" s="18" t="s">
        <v>36</v>
      </c>
      <c r="E271" s="18" t="s">
        <v>27</v>
      </c>
      <c r="F271" s="18">
        <v>6</v>
      </c>
      <c r="G271" s="39">
        <v>4094</v>
      </c>
      <c r="H271" s="39">
        <v>24564</v>
      </c>
      <c r="I271" s="18" t="s">
        <v>33</v>
      </c>
    </row>
    <row r="272" spans="1:9" x14ac:dyDescent="0.3">
      <c r="A272" s="18" t="s">
        <v>316</v>
      </c>
      <c r="B272" s="38">
        <v>46311</v>
      </c>
      <c r="C272" s="18" t="s">
        <v>56</v>
      </c>
      <c r="D272" s="18" t="s">
        <v>26</v>
      </c>
      <c r="E272" s="18" t="s">
        <v>42</v>
      </c>
      <c r="F272" s="18">
        <v>1</v>
      </c>
      <c r="G272" s="39">
        <v>980</v>
      </c>
      <c r="H272" s="39">
        <v>980</v>
      </c>
      <c r="I272" s="18" t="s">
        <v>33</v>
      </c>
    </row>
    <row r="273" spans="1:9" x14ac:dyDescent="0.3">
      <c r="A273" s="18" t="s">
        <v>317</v>
      </c>
      <c r="B273" s="38">
        <v>46304</v>
      </c>
      <c r="C273" s="18" t="s">
        <v>44</v>
      </c>
      <c r="D273" s="18" t="s">
        <v>41</v>
      </c>
      <c r="E273" s="18" t="s">
        <v>49</v>
      </c>
      <c r="F273" s="18">
        <v>1</v>
      </c>
      <c r="G273" s="39">
        <v>1890</v>
      </c>
      <c r="H273" s="39">
        <v>1890</v>
      </c>
      <c r="I273" s="18" t="s">
        <v>33</v>
      </c>
    </row>
    <row r="274" spans="1:9" x14ac:dyDescent="0.3">
      <c r="A274" s="18" t="s">
        <v>318</v>
      </c>
      <c r="B274" s="38">
        <v>46313</v>
      </c>
      <c r="C274" s="18" t="s">
        <v>52</v>
      </c>
      <c r="D274" s="18" t="s">
        <v>26</v>
      </c>
      <c r="E274" s="18" t="s">
        <v>42</v>
      </c>
      <c r="F274" s="18">
        <v>5</v>
      </c>
      <c r="G274" s="39">
        <v>702</v>
      </c>
      <c r="H274" s="39">
        <v>3510</v>
      </c>
      <c r="I274" s="18" t="s">
        <v>33</v>
      </c>
    </row>
    <row r="275" spans="1:9" x14ac:dyDescent="0.3">
      <c r="A275" s="18" t="s">
        <v>319</v>
      </c>
      <c r="B275" s="38">
        <v>46310</v>
      </c>
      <c r="C275" s="18" t="s">
        <v>54</v>
      </c>
      <c r="D275" s="18" t="s">
        <v>31</v>
      </c>
      <c r="E275" s="18" t="s">
        <v>42</v>
      </c>
      <c r="F275" s="18">
        <v>2</v>
      </c>
      <c r="G275" s="39">
        <v>1154</v>
      </c>
      <c r="H275" s="39">
        <v>2308</v>
      </c>
      <c r="I275" s="18" t="s">
        <v>79</v>
      </c>
    </row>
    <row r="276" spans="1:9" x14ac:dyDescent="0.3">
      <c r="A276" s="18" t="s">
        <v>320</v>
      </c>
      <c r="B276" s="38">
        <v>46308</v>
      </c>
      <c r="C276" s="18" t="s">
        <v>44</v>
      </c>
      <c r="D276" s="18" t="s">
        <v>26</v>
      </c>
      <c r="E276" s="18" t="s">
        <v>42</v>
      </c>
      <c r="F276" s="18">
        <v>6</v>
      </c>
      <c r="G276" s="39">
        <v>1281</v>
      </c>
      <c r="H276" s="39">
        <v>7686</v>
      </c>
      <c r="I276" s="18" t="s">
        <v>33</v>
      </c>
    </row>
    <row r="277" spans="1:9" x14ac:dyDescent="0.3">
      <c r="A277" s="18" t="s">
        <v>321</v>
      </c>
      <c r="B277" s="38">
        <v>46312</v>
      </c>
      <c r="C277" s="18" t="s">
        <v>62</v>
      </c>
      <c r="D277" s="18" t="s">
        <v>31</v>
      </c>
      <c r="E277" s="18" t="s">
        <v>46</v>
      </c>
      <c r="F277" s="18">
        <v>1</v>
      </c>
      <c r="G277" s="39">
        <v>3750</v>
      </c>
      <c r="H277" s="39">
        <v>3750</v>
      </c>
      <c r="I277" s="18" t="s">
        <v>33</v>
      </c>
    </row>
    <row r="278" spans="1:9" x14ac:dyDescent="0.3">
      <c r="A278" s="18" t="s">
        <v>322</v>
      </c>
      <c r="B278" s="38">
        <v>46306</v>
      </c>
      <c r="C278" s="18" t="s">
        <v>56</v>
      </c>
      <c r="D278" s="18" t="s">
        <v>31</v>
      </c>
      <c r="E278" s="18" t="s">
        <v>32</v>
      </c>
      <c r="F278" s="18">
        <v>3</v>
      </c>
      <c r="G278" s="39">
        <v>5166</v>
      </c>
      <c r="H278" s="39">
        <v>15498</v>
      </c>
      <c r="I278" s="18" t="s">
        <v>39</v>
      </c>
    </row>
    <row r="279" spans="1:9" x14ac:dyDescent="0.3">
      <c r="A279" s="18" t="s">
        <v>323</v>
      </c>
      <c r="B279" s="38">
        <v>46300</v>
      </c>
      <c r="C279" s="18" t="s">
        <v>44</v>
      </c>
      <c r="D279" s="18" t="s">
        <v>31</v>
      </c>
      <c r="E279" s="18" t="s">
        <v>49</v>
      </c>
      <c r="F279" s="18">
        <v>3</v>
      </c>
      <c r="G279" s="39">
        <v>1859</v>
      </c>
      <c r="H279" s="39">
        <v>5577</v>
      </c>
      <c r="I279" s="18" t="s">
        <v>79</v>
      </c>
    </row>
    <row r="280" spans="1:9" x14ac:dyDescent="0.3">
      <c r="A280" s="18" t="s">
        <v>324</v>
      </c>
      <c r="B280" s="38">
        <v>46305</v>
      </c>
      <c r="C280" s="18" t="s">
        <v>44</v>
      </c>
      <c r="D280" s="18" t="s">
        <v>31</v>
      </c>
      <c r="E280" s="18" t="s">
        <v>42</v>
      </c>
      <c r="F280" s="18">
        <v>8</v>
      </c>
      <c r="G280" s="39">
        <v>4711</v>
      </c>
      <c r="H280" s="39">
        <v>37688</v>
      </c>
      <c r="I280" s="18" t="s">
        <v>33</v>
      </c>
    </row>
    <row r="281" spans="1:9" x14ac:dyDescent="0.3">
      <c r="A281" s="18" t="s">
        <v>325</v>
      </c>
      <c r="B281" s="38">
        <v>46296</v>
      </c>
      <c r="C281" s="18" t="s">
        <v>44</v>
      </c>
      <c r="D281" s="18" t="s">
        <v>26</v>
      </c>
      <c r="E281" s="18" t="s">
        <v>46</v>
      </c>
      <c r="F281" s="18">
        <v>7</v>
      </c>
      <c r="G281" s="39">
        <v>39453</v>
      </c>
      <c r="H281" s="39">
        <v>276171</v>
      </c>
      <c r="I281" s="18" t="s">
        <v>33</v>
      </c>
    </row>
    <row r="282" spans="1:9" x14ac:dyDescent="0.3">
      <c r="A282" s="18" t="s">
        <v>326</v>
      </c>
      <c r="B282" s="38">
        <v>46296</v>
      </c>
      <c r="C282" s="18" t="s">
        <v>56</v>
      </c>
      <c r="D282" s="18" t="s">
        <v>26</v>
      </c>
      <c r="E282" s="18" t="s">
        <v>42</v>
      </c>
      <c r="F282" s="18">
        <v>4</v>
      </c>
      <c r="G282" s="39">
        <v>520</v>
      </c>
      <c r="H282" s="39">
        <v>2080</v>
      </c>
      <c r="I282" s="18" t="s">
        <v>33</v>
      </c>
    </row>
    <row r="283" spans="1:9" x14ac:dyDescent="0.3">
      <c r="A283" s="18" t="s">
        <v>327</v>
      </c>
      <c r="B283" s="38">
        <v>46301</v>
      </c>
      <c r="C283" s="18" t="s">
        <v>62</v>
      </c>
      <c r="D283" s="18" t="s">
        <v>36</v>
      </c>
      <c r="E283" s="18" t="s">
        <v>27</v>
      </c>
      <c r="F283" s="18">
        <v>1</v>
      </c>
      <c r="G283" s="39">
        <v>21261</v>
      </c>
      <c r="H283" s="39">
        <v>21261</v>
      </c>
      <c r="I283" s="18" t="s">
        <v>39</v>
      </c>
    </row>
    <row r="284" spans="1:9" x14ac:dyDescent="0.3">
      <c r="A284" s="18" t="s">
        <v>328</v>
      </c>
      <c r="B284" s="38">
        <v>46299</v>
      </c>
      <c r="C284" s="18" t="s">
        <v>52</v>
      </c>
      <c r="D284" s="18" t="s">
        <v>38</v>
      </c>
      <c r="E284" s="18" t="s">
        <v>32</v>
      </c>
      <c r="F284" s="18">
        <v>6</v>
      </c>
      <c r="G284" s="39">
        <v>3630</v>
      </c>
      <c r="H284" s="39">
        <v>21780</v>
      </c>
      <c r="I284" s="18" t="s">
        <v>33</v>
      </c>
    </row>
    <row r="285" spans="1:9" x14ac:dyDescent="0.3">
      <c r="A285" s="18" t="s">
        <v>329</v>
      </c>
      <c r="B285" s="38">
        <v>46302</v>
      </c>
      <c r="C285" s="18" t="s">
        <v>62</v>
      </c>
      <c r="D285" s="18" t="s">
        <v>31</v>
      </c>
      <c r="E285" s="18" t="s">
        <v>42</v>
      </c>
      <c r="F285" s="18">
        <v>8</v>
      </c>
      <c r="G285" s="39">
        <v>610</v>
      </c>
      <c r="H285" s="39">
        <v>4880</v>
      </c>
      <c r="I285" s="18" t="s">
        <v>28</v>
      </c>
    </row>
    <row r="286" spans="1:9" x14ac:dyDescent="0.3">
      <c r="A286" s="18" t="s">
        <v>330</v>
      </c>
      <c r="B286" s="38">
        <v>46312</v>
      </c>
      <c r="C286" s="18" t="s">
        <v>52</v>
      </c>
      <c r="D286" s="18" t="s">
        <v>31</v>
      </c>
      <c r="E286" s="18" t="s">
        <v>49</v>
      </c>
      <c r="F286" s="18">
        <v>8</v>
      </c>
      <c r="G286" s="39">
        <v>2402</v>
      </c>
      <c r="H286" s="39">
        <v>19216</v>
      </c>
      <c r="I286" s="18" t="s">
        <v>33</v>
      </c>
    </row>
    <row r="287" spans="1:9" x14ac:dyDescent="0.3">
      <c r="A287" s="18" t="s">
        <v>331</v>
      </c>
      <c r="B287" s="38">
        <v>46301</v>
      </c>
      <c r="C287" s="18" t="s">
        <v>56</v>
      </c>
      <c r="D287" s="18" t="s">
        <v>31</v>
      </c>
      <c r="E287" s="18" t="s">
        <v>49</v>
      </c>
      <c r="F287" s="18">
        <v>6</v>
      </c>
      <c r="G287" s="39">
        <v>3018</v>
      </c>
      <c r="H287" s="39">
        <v>18108</v>
      </c>
      <c r="I287" s="18" t="s">
        <v>39</v>
      </c>
    </row>
    <row r="288" spans="1:9" x14ac:dyDescent="0.3">
      <c r="A288" s="18" t="s">
        <v>332</v>
      </c>
      <c r="B288" s="38">
        <v>46304</v>
      </c>
      <c r="C288" s="18" t="s">
        <v>56</v>
      </c>
      <c r="D288" s="18" t="s">
        <v>36</v>
      </c>
      <c r="E288" s="18" t="s">
        <v>27</v>
      </c>
      <c r="F288" s="18">
        <v>5</v>
      </c>
      <c r="G288" s="39">
        <v>20787</v>
      </c>
      <c r="H288" s="39">
        <v>103935</v>
      </c>
      <c r="I288" s="18" t="s">
        <v>33</v>
      </c>
    </row>
    <row r="289" spans="1:9" x14ac:dyDescent="0.3">
      <c r="A289" s="18" t="s">
        <v>333</v>
      </c>
      <c r="B289" s="38">
        <v>46305</v>
      </c>
      <c r="C289" s="18" t="s">
        <v>54</v>
      </c>
      <c r="D289" s="18" t="s">
        <v>36</v>
      </c>
      <c r="E289" s="18" t="s">
        <v>32</v>
      </c>
      <c r="F289" s="18">
        <v>6</v>
      </c>
      <c r="G289" s="39">
        <v>4130</v>
      </c>
      <c r="H289" s="39">
        <v>24780</v>
      </c>
      <c r="I289" s="18" t="s">
        <v>33</v>
      </c>
    </row>
    <row r="290" spans="1:9" x14ac:dyDescent="0.3">
      <c r="A290" s="18" t="s">
        <v>334</v>
      </c>
      <c r="B290" s="38">
        <v>46304</v>
      </c>
      <c r="C290" s="18" t="s">
        <v>54</v>
      </c>
      <c r="D290" s="18" t="s">
        <v>38</v>
      </c>
      <c r="E290" s="18" t="s">
        <v>42</v>
      </c>
      <c r="F290" s="18">
        <v>7</v>
      </c>
      <c r="G290" s="39">
        <v>3332</v>
      </c>
      <c r="H290" s="39">
        <v>23324</v>
      </c>
      <c r="I290" s="18" t="s">
        <v>39</v>
      </c>
    </row>
    <row r="291" spans="1:9" x14ac:dyDescent="0.3">
      <c r="A291" s="18" t="s">
        <v>335</v>
      </c>
      <c r="B291" s="38">
        <v>46300</v>
      </c>
      <c r="C291" s="18" t="s">
        <v>54</v>
      </c>
      <c r="D291" s="18" t="s">
        <v>38</v>
      </c>
      <c r="E291" s="18" t="s">
        <v>49</v>
      </c>
      <c r="F291" s="18">
        <v>2</v>
      </c>
      <c r="G291" s="39">
        <v>1668</v>
      </c>
      <c r="H291" s="39">
        <v>3336</v>
      </c>
      <c r="I291" s="18" t="s">
        <v>39</v>
      </c>
    </row>
    <row r="292" spans="1:9" x14ac:dyDescent="0.3">
      <c r="A292" s="18" t="s">
        <v>336</v>
      </c>
      <c r="B292" s="38">
        <v>46304</v>
      </c>
      <c r="C292" s="18" t="s">
        <v>56</v>
      </c>
      <c r="D292" s="18" t="s">
        <v>36</v>
      </c>
      <c r="E292" s="18" t="s">
        <v>27</v>
      </c>
      <c r="F292" s="18">
        <v>5</v>
      </c>
      <c r="G292" s="39">
        <v>20916</v>
      </c>
      <c r="H292" s="39">
        <v>104580</v>
      </c>
      <c r="I292" s="18" t="s">
        <v>28</v>
      </c>
    </row>
    <row r="293" spans="1:9" x14ac:dyDescent="0.3">
      <c r="A293" s="18" t="s">
        <v>337</v>
      </c>
      <c r="B293" s="38">
        <v>46300</v>
      </c>
      <c r="C293" s="18" t="s">
        <v>30</v>
      </c>
      <c r="D293" s="18" t="s">
        <v>31</v>
      </c>
      <c r="E293" s="18" t="s">
        <v>42</v>
      </c>
      <c r="F293" s="18">
        <v>4</v>
      </c>
      <c r="G293" s="39">
        <v>2086</v>
      </c>
      <c r="H293" s="39">
        <v>8344</v>
      </c>
      <c r="I293" s="18" t="s">
        <v>33</v>
      </c>
    </row>
    <row r="294" spans="1:9" x14ac:dyDescent="0.3">
      <c r="A294" s="18" t="s">
        <v>338</v>
      </c>
      <c r="B294" s="38">
        <v>46312</v>
      </c>
      <c r="C294" s="18" t="s">
        <v>52</v>
      </c>
      <c r="D294" s="18" t="s">
        <v>36</v>
      </c>
      <c r="E294" s="18" t="s">
        <v>46</v>
      </c>
      <c r="F294" s="18">
        <v>2</v>
      </c>
      <c r="G294" s="39">
        <v>28286</v>
      </c>
      <c r="H294" s="39">
        <v>56572</v>
      </c>
      <c r="I294" s="18" t="s">
        <v>33</v>
      </c>
    </row>
    <row r="295" spans="1:9" x14ac:dyDescent="0.3">
      <c r="A295" s="18" t="s">
        <v>339</v>
      </c>
      <c r="B295" s="38">
        <v>46311</v>
      </c>
      <c r="C295" s="18" t="s">
        <v>30</v>
      </c>
      <c r="D295" s="18" t="s">
        <v>36</v>
      </c>
      <c r="E295" s="18" t="s">
        <v>46</v>
      </c>
      <c r="F295" s="18">
        <v>3</v>
      </c>
      <c r="G295" s="39">
        <v>27867</v>
      </c>
      <c r="H295" s="39">
        <v>83601</v>
      </c>
      <c r="I295" s="18" t="s">
        <v>28</v>
      </c>
    </row>
    <row r="296" spans="1:9" x14ac:dyDescent="0.3">
      <c r="A296" s="18" t="s">
        <v>340</v>
      </c>
      <c r="B296" s="38">
        <v>46311</v>
      </c>
      <c r="C296" s="18" t="s">
        <v>56</v>
      </c>
      <c r="D296" s="18" t="s">
        <v>36</v>
      </c>
      <c r="E296" s="18" t="s">
        <v>49</v>
      </c>
      <c r="F296" s="18">
        <v>6</v>
      </c>
      <c r="G296" s="39">
        <v>1419</v>
      </c>
      <c r="H296" s="39">
        <v>8514</v>
      </c>
      <c r="I296" s="18" t="s">
        <v>28</v>
      </c>
    </row>
    <row r="297" spans="1:9" x14ac:dyDescent="0.3">
      <c r="A297" s="18" t="s">
        <v>341</v>
      </c>
      <c r="B297" s="38">
        <v>46298</v>
      </c>
      <c r="C297" s="18" t="s">
        <v>52</v>
      </c>
      <c r="D297" s="18" t="s">
        <v>31</v>
      </c>
      <c r="E297" s="18" t="s">
        <v>46</v>
      </c>
      <c r="F297" s="18">
        <v>3</v>
      </c>
      <c r="G297" s="39">
        <v>28586</v>
      </c>
      <c r="H297" s="39">
        <v>85758</v>
      </c>
      <c r="I297" s="18" t="s">
        <v>39</v>
      </c>
    </row>
    <row r="298" spans="1:9" x14ac:dyDescent="0.3">
      <c r="A298" s="18" t="s">
        <v>342</v>
      </c>
      <c r="B298" s="38">
        <v>46301</v>
      </c>
      <c r="C298" s="18" t="s">
        <v>25</v>
      </c>
      <c r="D298" s="18" t="s">
        <v>41</v>
      </c>
      <c r="E298" s="18" t="s">
        <v>32</v>
      </c>
      <c r="F298" s="18">
        <v>3</v>
      </c>
      <c r="G298" s="39">
        <v>7872</v>
      </c>
      <c r="H298" s="39">
        <v>23616</v>
      </c>
      <c r="I298" s="18" t="s">
        <v>28</v>
      </c>
    </row>
    <row r="299" spans="1:9" x14ac:dyDescent="0.3">
      <c r="A299" s="18" t="s">
        <v>343</v>
      </c>
      <c r="B299" s="38">
        <v>46305</v>
      </c>
      <c r="C299" s="18" t="s">
        <v>25</v>
      </c>
      <c r="D299" s="18" t="s">
        <v>38</v>
      </c>
      <c r="E299" s="18" t="s">
        <v>49</v>
      </c>
      <c r="F299" s="18">
        <v>2</v>
      </c>
      <c r="G299" s="39">
        <v>1622</v>
      </c>
      <c r="H299" s="39">
        <v>3244</v>
      </c>
      <c r="I299" s="18" t="s">
        <v>33</v>
      </c>
    </row>
    <row r="300" spans="1:9" x14ac:dyDescent="0.3">
      <c r="A300" s="18" t="s">
        <v>344</v>
      </c>
      <c r="B300" s="38">
        <v>46313</v>
      </c>
      <c r="C300" s="18" t="s">
        <v>56</v>
      </c>
      <c r="D300" s="18" t="s">
        <v>36</v>
      </c>
      <c r="E300" s="18" t="s">
        <v>42</v>
      </c>
      <c r="F300" s="18">
        <v>8</v>
      </c>
      <c r="G300" s="39">
        <v>2335</v>
      </c>
      <c r="H300" s="39">
        <v>18680</v>
      </c>
      <c r="I300" s="18" t="s">
        <v>33</v>
      </c>
    </row>
    <row r="301" spans="1:9" x14ac:dyDescent="0.3">
      <c r="A301" s="18" t="s">
        <v>345</v>
      </c>
      <c r="B301" s="38">
        <v>46299</v>
      </c>
      <c r="C301" s="18" t="s">
        <v>44</v>
      </c>
      <c r="D301" s="18" t="s">
        <v>36</v>
      </c>
      <c r="E301" s="18" t="s">
        <v>32</v>
      </c>
      <c r="F301" s="18">
        <v>5</v>
      </c>
      <c r="G301" s="39">
        <v>6086</v>
      </c>
      <c r="H301" s="39">
        <v>30430</v>
      </c>
      <c r="I301" s="18" t="s">
        <v>33</v>
      </c>
    </row>
    <row r="302" spans="1:9" x14ac:dyDescent="0.3">
      <c r="A302" s="18" t="s">
        <v>346</v>
      </c>
      <c r="B302" s="38">
        <v>46306</v>
      </c>
      <c r="C302" s="18" t="s">
        <v>54</v>
      </c>
      <c r="D302" s="18" t="s">
        <v>31</v>
      </c>
      <c r="E302" s="18" t="s">
        <v>27</v>
      </c>
      <c r="F302" s="18">
        <v>3</v>
      </c>
      <c r="G302" s="39">
        <v>22519</v>
      </c>
      <c r="H302" s="39">
        <v>67557</v>
      </c>
      <c r="I302" s="18" t="s">
        <v>39</v>
      </c>
    </row>
    <row r="303" spans="1:9" x14ac:dyDescent="0.3">
      <c r="A303" s="18" t="s">
        <v>347</v>
      </c>
      <c r="B303" s="38">
        <v>46308</v>
      </c>
      <c r="C303" s="18" t="s">
        <v>62</v>
      </c>
      <c r="D303" s="18" t="s">
        <v>31</v>
      </c>
      <c r="E303" s="18" t="s">
        <v>49</v>
      </c>
      <c r="F303" s="18">
        <v>2</v>
      </c>
      <c r="G303" s="39">
        <v>1891</v>
      </c>
      <c r="H303" s="39">
        <v>3782</v>
      </c>
      <c r="I303" s="18" t="s">
        <v>28</v>
      </c>
    </row>
    <row r="304" spans="1:9" x14ac:dyDescent="0.3">
      <c r="A304" s="18" t="s">
        <v>348</v>
      </c>
      <c r="B304" s="38">
        <v>46301</v>
      </c>
      <c r="C304" s="18" t="s">
        <v>48</v>
      </c>
      <c r="D304" s="18" t="s">
        <v>41</v>
      </c>
      <c r="E304" s="18" t="s">
        <v>49</v>
      </c>
      <c r="F304" s="18">
        <v>4</v>
      </c>
      <c r="G304" s="39">
        <v>277</v>
      </c>
      <c r="H304" s="39">
        <v>1108</v>
      </c>
      <c r="I304" s="18" t="s">
        <v>33</v>
      </c>
    </row>
    <row r="305" spans="1:9" x14ac:dyDescent="0.3">
      <c r="A305" s="18" t="s">
        <v>349</v>
      </c>
      <c r="B305" s="38">
        <v>46303</v>
      </c>
      <c r="C305" s="18" t="s">
        <v>56</v>
      </c>
      <c r="D305" s="18" t="s">
        <v>26</v>
      </c>
      <c r="E305" s="18" t="s">
        <v>49</v>
      </c>
      <c r="F305" s="18">
        <v>5</v>
      </c>
      <c r="G305" s="39">
        <v>2635</v>
      </c>
      <c r="H305" s="39">
        <v>13175</v>
      </c>
      <c r="I305" s="18" t="s">
        <v>28</v>
      </c>
    </row>
    <row r="306" spans="1:9" x14ac:dyDescent="0.3">
      <c r="A306" s="18" t="s">
        <v>350</v>
      </c>
      <c r="B306" s="38">
        <v>46296</v>
      </c>
      <c r="C306" s="18" t="s">
        <v>54</v>
      </c>
      <c r="D306" s="18" t="s">
        <v>26</v>
      </c>
      <c r="E306" s="18" t="s">
        <v>27</v>
      </c>
      <c r="F306" s="18">
        <v>1</v>
      </c>
      <c r="G306" s="39">
        <v>24382</v>
      </c>
      <c r="H306" s="39">
        <v>24382</v>
      </c>
      <c r="I306" s="18" t="s">
        <v>33</v>
      </c>
    </row>
    <row r="307" spans="1:9" x14ac:dyDescent="0.3">
      <c r="A307" s="18" t="s">
        <v>351</v>
      </c>
      <c r="B307" s="38">
        <v>46305</v>
      </c>
      <c r="C307" s="18" t="s">
        <v>48</v>
      </c>
      <c r="D307" s="18" t="s">
        <v>41</v>
      </c>
      <c r="E307" s="18" t="s">
        <v>42</v>
      </c>
      <c r="F307" s="18">
        <v>5</v>
      </c>
      <c r="G307" s="39">
        <v>1061</v>
      </c>
      <c r="H307" s="39">
        <v>5305</v>
      </c>
      <c r="I307" s="18" t="s">
        <v>28</v>
      </c>
    </row>
    <row r="308" spans="1:9" x14ac:dyDescent="0.3">
      <c r="A308" s="18" t="s">
        <v>352</v>
      </c>
      <c r="B308" s="38">
        <v>46305</v>
      </c>
      <c r="C308" s="18" t="s">
        <v>44</v>
      </c>
      <c r="D308" s="18" t="s">
        <v>31</v>
      </c>
      <c r="E308" s="18" t="s">
        <v>27</v>
      </c>
      <c r="F308" s="18">
        <v>4</v>
      </c>
      <c r="G308" s="39">
        <v>6876</v>
      </c>
      <c r="H308" s="39">
        <v>27504</v>
      </c>
      <c r="I308" s="18" t="s">
        <v>33</v>
      </c>
    </row>
    <row r="309" spans="1:9" x14ac:dyDescent="0.3">
      <c r="A309" s="18" t="s">
        <v>353</v>
      </c>
      <c r="B309" s="38">
        <v>46310</v>
      </c>
      <c r="C309" s="18" t="s">
        <v>44</v>
      </c>
      <c r="D309" s="18" t="s">
        <v>41</v>
      </c>
      <c r="E309" s="18" t="s">
        <v>42</v>
      </c>
      <c r="F309" s="18">
        <v>8</v>
      </c>
      <c r="G309" s="39">
        <v>4503</v>
      </c>
      <c r="H309" s="39">
        <v>36024</v>
      </c>
      <c r="I309" s="18" t="s">
        <v>39</v>
      </c>
    </row>
    <row r="310" spans="1:9" x14ac:dyDescent="0.3">
      <c r="A310" s="18" t="s">
        <v>354</v>
      </c>
      <c r="B310" s="38">
        <v>46302</v>
      </c>
      <c r="C310" s="18" t="s">
        <v>52</v>
      </c>
      <c r="D310" s="18" t="s">
        <v>31</v>
      </c>
      <c r="E310" s="18" t="s">
        <v>46</v>
      </c>
      <c r="F310" s="18">
        <v>8</v>
      </c>
      <c r="G310" s="39">
        <v>35814</v>
      </c>
      <c r="H310" s="39">
        <v>286512</v>
      </c>
      <c r="I310" s="18" t="s">
        <v>28</v>
      </c>
    </row>
    <row r="311" spans="1:9" x14ac:dyDescent="0.3">
      <c r="A311" s="18" t="s">
        <v>355</v>
      </c>
      <c r="B311" s="38">
        <v>46298</v>
      </c>
      <c r="C311" s="18" t="s">
        <v>30</v>
      </c>
      <c r="D311" s="18" t="s">
        <v>38</v>
      </c>
      <c r="E311" s="18" t="s">
        <v>42</v>
      </c>
      <c r="F311" s="18">
        <v>4</v>
      </c>
      <c r="G311" s="39">
        <v>4791</v>
      </c>
      <c r="H311" s="39">
        <v>19164</v>
      </c>
      <c r="I311" s="18" t="s">
        <v>33</v>
      </c>
    </row>
    <row r="312" spans="1:9" x14ac:dyDescent="0.3">
      <c r="A312" s="18" t="s">
        <v>356</v>
      </c>
      <c r="B312" s="38">
        <v>46301</v>
      </c>
      <c r="C312" s="18" t="s">
        <v>44</v>
      </c>
      <c r="D312" s="18" t="s">
        <v>31</v>
      </c>
      <c r="E312" s="18" t="s">
        <v>32</v>
      </c>
      <c r="F312" s="18">
        <v>2</v>
      </c>
      <c r="G312" s="39">
        <v>5772</v>
      </c>
      <c r="H312" s="39">
        <v>11544</v>
      </c>
      <c r="I312" s="18" t="s">
        <v>33</v>
      </c>
    </row>
    <row r="313" spans="1:9" x14ac:dyDescent="0.3">
      <c r="A313" s="18" t="s">
        <v>357</v>
      </c>
      <c r="B313" s="38">
        <v>46311</v>
      </c>
      <c r="C313" s="18" t="s">
        <v>30</v>
      </c>
      <c r="D313" s="18" t="s">
        <v>31</v>
      </c>
      <c r="E313" s="18" t="s">
        <v>32</v>
      </c>
      <c r="F313" s="18">
        <v>1</v>
      </c>
      <c r="G313" s="39">
        <v>3914</v>
      </c>
      <c r="H313" s="39">
        <v>3914</v>
      </c>
      <c r="I313" s="18" t="s">
        <v>33</v>
      </c>
    </row>
    <row r="314" spans="1:9" x14ac:dyDescent="0.3">
      <c r="A314" s="18" t="s">
        <v>358</v>
      </c>
      <c r="B314" s="38">
        <v>46309</v>
      </c>
      <c r="C314" s="18" t="s">
        <v>56</v>
      </c>
      <c r="D314" s="18" t="s">
        <v>31</v>
      </c>
      <c r="E314" s="18" t="s">
        <v>46</v>
      </c>
      <c r="F314" s="18">
        <v>8</v>
      </c>
      <c r="G314" s="39">
        <v>21396</v>
      </c>
      <c r="H314" s="39">
        <v>171168</v>
      </c>
      <c r="I314" s="18" t="s">
        <v>28</v>
      </c>
    </row>
    <row r="315" spans="1:9" x14ac:dyDescent="0.3">
      <c r="A315" s="18" t="s">
        <v>359</v>
      </c>
      <c r="B315" s="38">
        <v>46308</v>
      </c>
      <c r="C315" s="18" t="s">
        <v>54</v>
      </c>
      <c r="D315" s="18" t="s">
        <v>38</v>
      </c>
      <c r="E315" s="18" t="s">
        <v>27</v>
      </c>
      <c r="F315" s="18">
        <v>2</v>
      </c>
      <c r="G315" s="39">
        <v>3984</v>
      </c>
      <c r="H315" s="39">
        <v>7968</v>
      </c>
      <c r="I315" s="18" t="s">
        <v>33</v>
      </c>
    </row>
    <row r="316" spans="1:9" x14ac:dyDescent="0.3">
      <c r="A316" s="18" t="s">
        <v>360</v>
      </c>
      <c r="B316" s="38">
        <v>46298</v>
      </c>
      <c r="C316" s="18" t="s">
        <v>25</v>
      </c>
      <c r="D316" s="18" t="s">
        <v>38</v>
      </c>
      <c r="E316" s="18" t="s">
        <v>32</v>
      </c>
      <c r="F316" s="18">
        <v>1</v>
      </c>
      <c r="G316" s="39">
        <v>2551</v>
      </c>
      <c r="H316" s="39">
        <v>2551</v>
      </c>
      <c r="I316" s="18" t="s">
        <v>33</v>
      </c>
    </row>
    <row r="317" spans="1:9" x14ac:dyDescent="0.3">
      <c r="A317" s="18" t="s">
        <v>361</v>
      </c>
      <c r="B317" s="38">
        <v>46300</v>
      </c>
      <c r="C317" s="18" t="s">
        <v>62</v>
      </c>
      <c r="D317" s="18" t="s">
        <v>26</v>
      </c>
      <c r="E317" s="18" t="s">
        <v>32</v>
      </c>
      <c r="F317" s="18">
        <v>8</v>
      </c>
      <c r="G317" s="39">
        <v>7323</v>
      </c>
      <c r="H317" s="39">
        <v>58584</v>
      </c>
      <c r="I317" s="18" t="s">
        <v>39</v>
      </c>
    </row>
    <row r="318" spans="1:9" x14ac:dyDescent="0.3">
      <c r="A318" s="18" t="s">
        <v>362</v>
      </c>
      <c r="B318" s="38">
        <v>46308</v>
      </c>
      <c r="C318" s="18" t="s">
        <v>62</v>
      </c>
      <c r="D318" s="18" t="s">
        <v>38</v>
      </c>
      <c r="E318" s="18" t="s">
        <v>42</v>
      </c>
      <c r="F318" s="18">
        <v>3</v>
      </c>
      <c r="G318" s="39">
        <v>5453</v>
      </c>
      <c r="H318" s="39">
        <v>16359</v>
      </c>
      <c r="I318" s="18" t="s">
        <v>39</v>
      </c>
    </row>
    <row r="319" spans="1:9" x14ac:dyDescent="0.3">
      <c r="A319" s="18" t="s">
        <v>363</v>
      </c>
      <c r="B319" s="38">
        <v>46299</v>
      </c>
      <c r="C319" s="18" t="s">
        <v>48</v>
      </c>
      <c r="D319" s="18" t="s">
        <v>31</v>
      </c>
      <c r="E319" s="18" t="s">
        <v>32</v>
      </c>
      <c r="F319" s="18">
        <v>3</v>
      </c>
      <c r="G319" s="39">
        <v>6162</v>
      </c>
      <c r="H319" s="39">
        <v>18486</v>
      </c>
      <c r="I319" s="18" t="s">
        <v>79</v>
      </c>
    </row>
    <row r="320" spans="1:9" x14ac:dyDescent="0.3">
      <c r="A320" s="18" t="s">
        <v>364</v>
      </c>
      <c r="B320" s="38">
        <v>46296</v>
      </c>
      <c r="C320" s="18" t="s">
        <v>25</v>
      </c>
      <c r="D320" s="18" t="s">
        <v>26</v>
      </c>
      <c r="E320" s="18" t="s">
        <v>32</v>
      </c>
      <c r="F320" s="18">
        <v>7</v>
      </c>
      <c r="G320" s="39">
        <v>4557</v>
      </c>
      <c r="H320" s="39">
        <v>31899</v>
      </c>
      <c r="I320" s="18" t="s">
        <v>33</v>
      </c>
    </row>
    <row r="321" spans="1:9" x14ac:dyDescent="0.3">
      <c r="A321" s="18" t="s">
        <v>365</v>
      </c>
      <c r="B321" s="38">
        <v>46303</v>
      </c>
      <c r="C321" s="18" t="s">
        <v>52</v>
      </c>
      <c r="D321" s="18" t="s">
        <v>41</v>
      </c>
      <c r="E321" s="18" t="s">
        <v>49</v>
      </c>
      <c r="F321" s="18">
        <v>3</v>
      </c>
      <c r="G321" s="39">
        <v>1379</v>
      </c>
      <c r="H321" s="39">
        <v>4137</v>
      </c>
      <c r="I321" s="18" t="s">
        <v>33</v>
      </c>
    </row>
    <row r="322" spans="1:9" x14ac:dyDescent="0.3">
      <c r="A322" s="18" t="s">
        <v>366</v>
      </c>
      <c r="B322" s="38">
        <v>46299</v>
      </c>
      <c r="C322" s="18" t="s">
        <v>25</v>
      </c>
      <c r="D322" s="18" t="s">
        <v>41</v>
      </c>
      <c r="E322" s="18" t="s">
        <v>42</v>
      </c>
      <c r="F322" s="18">
        <v>1</v>
      </c>
      <c r="G322" s="39">
        <v>2071</v>
      </c>
      <c r="H322" s="39">
        <v>2071</v>
      </c>
      <c r="I322" s="18" t="s">
        <v>33</v>
      </c>
    </row>
    <row r="323" spans="1:9" x14ac:dyDescent="0.3">
      <c r="A323" s="18" t="s">
        <v>367</v>
      </c>
      <c r="B323" s="38">
        <v>46299</v>
      </c>
      <c r="C323" s="18" t="s">
        <v>25</v>
      </c>
      <c r="D323" s="18" t="s">
        <v>41</v>
      </c>
      <c r="E323" s="18" t="s">
        <v>42</v>
      </c>
      <c r="F323" s="18">
        <v>1</v>
      </c>
      <c r="G323" s="39">
        <v>2104</v>
      </c>
      <c r="H323" s="39">
        <v>2104</v>
      </c>
      <c r="I323" s="18" t="s">
        <v>28</v>
      </c>
    </row>
    <row r="324" spans="1:9" x14ac:dyDescent="0.3">
      <c r="A324" s="18" t="s">
        <v>368</v>
      </c>
      <c r="B324" s="38">
        <v>46308</v>
      </c>
      <c r="C324" s="18" t="s">
        <v>56</v>
      </c>
      <c r="D324" s="18" t="s">
        <v>36</v>
      </c>
      <c r="E324" s="18" t="s">
        <v>42</v>
      </c>
      <c r="F324" s="18">
        <v>4</v>
      </c>
      <c r="G324" s="39">
        <v>562</v>
      </c>
      <c r="H324" s="39">
        <v>2248</v>
      </c>
      <c r="I324" s="18" t="s">
        <v>33</v>
      </c>
    </row>
    <row r="325" spans="1:9" x14ac:dyDescent="0.3">
      <c r="A325" s="18" t="s">
        <v>369</v>
      </c>
      <c r="B325" s="38">
        <v>46305</v>
      </c>
      <c r="C325" s="18" t="s">
        <v>52</v>
      </c>
      <c r="D325" s="18" t="s">
        <v>31</v>
      </c>
      <c r="E325" s="18" t="s">
        <v>49</v>
      </c>
      <c r="F325" s="18">
        <v>6</v>
      </c>
      <c r="G325" s="39">
        <v>1220</v>
      </c>
      <c r="H325" s="39">
        <v>7320</v>
      </c>
      <c r="I325" s="18" t="s">
        <v>33</v>
      </c>
    </row>
    <row r="326" spans="1:9" x14ac:dyDescent="0.3">
      <c r="A326" s="18" t="s">
        <v>370</v>
      </c>
      <c r="B326" s="38">
        <v>46300</v>
      </c>
      <c r="C326" s="18" t="s">
        <v>52</v>
      </c>
      <c r="D326" s="18" t="s">
        <v>41</v>
      </c>
      <c r="E326" s="18" t="s">
        <v>49</v>
      </c>
      <c r="F326" s="18">
        <v>5</v>
      </c>
      <c r="G326" s="39">
        <v>499</v>
      </c>
      <c r="H326" s="39">
        <v>2495</v>
      </c>
      <c r="I326" s="18" t="s">
        <v>33</v>
      </c>
    </row>
    <row r="327" spans="1:9" x14ac:dyDescent="0.3">
      <c r="A327" s="18" t="s">
        <v>371</v>
      </c>
      <c r="B327" s="38">
        <v>46301</v>
      </c>
      <c r="C327" s="18" t="s">
        <v>62</v>
      </c>
      <c r="D327" s="18" t="s">
        <v>31</v>
      </c>
      <c r="E327" s="18" t="s">
        <v>32</v>
      </c>
      <c r="F327" s="18">
        <v>1</v>
      </c>
      <c r="G327" s="39">
        <v>3021</v>
      </c>
      <c r="H327" s="39">
        <v>3021</v>
      </c>
      <c r="I327" s="18" t="s">
        <v>39</v>
      </c>
    </row>
    <row r="328" spans="1:9" x14ac:dyDescent="0.3">
      <c r="A328" s="18" t="s">
        <v>372</v>
      </c>
      <c r="B328" s="38">
        <v>46308</v>
      </c>
      <c r="C328" s="18" t="s">
        <v>44</v>
      </c>
      <c r="D328" s="18" t="s">
        <v>41</v>
      </c>
      <c r="E328" s="18" t="s">
        <v>32</v>
      </c>
      <c r="F328" s="18">
        <v>3</v>
      </c>
      <c r="G328" s="39">
        <v>2656</v>
      </c>
      <c r="H328" s="39">
        <v>7968</v>
      </c>
      <c r="I328" s="18" t="s">
        <v>33</v>
      </c>
    </row>
    <row r="329" spans="1:9" x14ac:dyDescent="0.3">
      <c r="A329" s="18" t="s">
        <v>373</v>
      </c>
      <c r="B329" s="38">
        <v>46313</v>
      </c>
      <c r="C329" s="18" t="s">
        <v>56</v>
      </c>
      <c r="D329" s="18" t="s">
        <v>36</v>
      </c>
      <c r="E329" s="18" t="s">
        <v>27</v>
      </c>
      <c r="F329" s="18">
        <v>5</v>
      </c>
      <c r="G329" s="39">
        <v>25685</v>
      </c>
      <c r="H329" s="39">
        <v>128425</v>
      </c>
      <c r="I329" s="18" t="s">
        <v>33</v>
      </c>
    </row>
    <row r="330" spans="1:9" x14ac:dyDescent="0.3">
      <c r="A330" s="18" t="s">
        <v>374</v>
      </c>
      <c r="B330" s="38">
        <v>46310</v>
      </c>
      <c r="C330" s="18" t="s">
        <v>25</v>
      </c>
      <c r="D330" s="18" t="s">
        <v>31</v>
      </c>
      <c r="E330" s="18" t="s">
        <v>32</v>
      </c>
      <c r="F330" s="18">
        <v>7</v>
      </c>
      <c r="G330" s="39">
        <v>4765</v>
      </c>
      <c r="H330" s="39">
        <v>33355</v>
      </c>
      <c r="I330" s="18" t="s">
        <v>33</v>
      </c>
    </row>
    <row r="331" spans="1:9" x14ac:dyDescent="0.3">
      <c r="A331" s="18" t="s">
        <v>375</v>
      </c>
      <c r="B331" s="38">
        <v>46308</v>
      </c>
      <c r="C331" s="18" t="s">
        <v>52</v>
      </c>
      <c r="D331" s="18" t="s">
        <v>26</v>
      </c>
      <c r="E331" s="18" t="s">
        <v>27</v>
      </c>
      <c r="F331" s="18">
        <v>6</v>
      </c>
      <c r="G331" s="39">
        <v>23691</v>
      </c>
      <c r="H331" s="39">
        <v>142146</v>
      </c>
      <c r="I331" s="18" t="s">
        <v>33</v>
      </c>
    </row>
    <row r="332" spans="1:9" x14ac:dyDescent="0.3">
      <c r="A332" s="18" t="s">
        <v>376</v>
      </c>
      <c r="B332" s="38">
        <v>46310</v>
      </c>
      <c r="C332" s="18" t="s">
        <v>44</v>
      </c>
      <c r="D332" s="18" t="s">
        <v>38</v>
      </c>
      <c r="E332" s="18" t="s">
        <v>42</v>
      </c>
      <c r="F332" s="18">
        <v>4</v>
      </c>
      <c r="G332" s="39">
        <v>522</v>
      </c>
      <c r="H332" s="39">
        <v>2088</v>
      </c>
      <c r="I332" s="18" t="s">
        <v>33</v>
      </c>
    </row>
    <row r="333" spans="1:9" x14ac:dyDescent="0.3">
      <c r="A333" s="18" t="s">
        <v>377</v>
      </c>
      <c r="B333" s="38">
        <v>46297</v>
      </c>
      <c r="C333" s="18" t="s">
        <v>30</v>
      </c>
      <c r="D333" s="18" t="s">
        <v>36</v>
      </c>
      <c r="E333" s="18" t="s">
        <v>42</v>
      </c>
      <c r="F333" s="18">
        <v>4</v>
      </c>
      <c r="G333" s="39">
        <v>4027</v>
      </c>
      <c r="H333" s="39">
        <v>16108</v>
      </c>
      <c r="I333" s="18" t="s">
        <v>33</v>
      </c>
    </row>
    <row r="334" spans="1:9" x14ac:dyDescent="0.3">
      <c r="A334" s="18" t="s">
        <v>378</v>
      </c>
      <c r="B334" s="38">
        <v>46306</v>
      </c>
      <c r="C334" s="18" t="s">
        <v>54</v>
      </c>
      <c r="D334" s="18" t="s">
        <v>38</v>
      </c>
      <c r="E334" s="18" t="s">
        <v>27</v>
      </c>
      <c r="F334" s="18">
        <v>4</v>
      </c>
      <c r="G334" s="39">
        <v>26796</v>
      </c>
      <c r="H334" s="39">
        <v>107184</v>
      </c>
      <c r="I334" s="18" t="s">
        <v>33</v>
      </c>
    </row>
    <row r="335" spans="1:9" x14ac:dyDescent="0.3">
      <c r="A335" s="18" t="s">
        <v>379</v>
      </c>
      <c r="B335" s="38">
        <v>46311</v>
      </c>
      <c r="C335" s="18" t="s">
        <v>52</v>
      </c>
      <c r="D335" s="18" t="s">
        <v>31</v>
      </c>
      <c r="E335" s="18" t="s">
        <v>27</v>
      </c>
      <c r="F335" s="18">
        <v>7</v>
      </c>
      <c r="G335" s="39">
        <v>10342</v>
      </c>
      <c r="H335" s="39">
        <v>72394</v>
      </c>
      <c r="I335" s="18" t="s">
        <v>33</v>
      </c>
    </row>
    <row r="336" spans="1:9" x14ac:dyDescent="0.3">
      <c r="A336" s="18" t="s">
        <v>380</v>
      </c>
      <c r="B336" s="38">
        <v>46305</v>
      </c>
      <c r="C336" s="18" t="s">
        <v>62</v>
      </c>
      <c r="D336" s="18" t="s">
        <v>41</v>
      </c>
      <c r="E336" s="18" t="s">
        <v>42</v>
      </c>
      <c r="F336" s="18">
        <v>6</v>
      </c>
      <c r="G336" s="39">
        <v>2626</v>
      </c>
      <c r="H336" s="39">
        <v>15756</v>
      </c>
      <c r="I336" s="18" t="s">
        <v>33</v>
      </c>
    </row>
    <row r="337" spans="1:9" x14ac:dyDescent="0.3">
      <c r="A337" s="18" t="s">
        <v>381</v>
      </c>
      <c r="B337" s="38">
        <v>46312</v>
      </c>
      <c r="C337" s="18" t="s">
        <v>56</v>
      </c>
      <c r="D337" s="18" t="s">
        <v>41</v>
      </c>
      <c r="E337" s="18" t="s">
        <v>46</v>
      </c>
      <c r="F337" s="18">
        <v>8</v>
      </c>
      <c r="G337" s="39">
        <v>22186</v>
      </c>
      <c r="H337" s="39">
        <v>177488</v>
      </c>
      <c r="I337" s="18" t="s">
        <v>39</v>
      </c>
    </row>
    <row r="338" spans="1:9" x14ac:dyDescent="0.3">
      <c r="A338" s="18" t="s">
        <v>382</v>
      </c>
      <c r="B338" s="38">
        <v>46307</v>
      </c>
      <c r="C338" s="18" t="s">
        <v>44</v>
      </c>
      <c r="D338" s="18" t="s">
        <v>41</v>
      </c>
      <c r="E338" s="18" t="s">
        <v>46</v>
      </c>
      <c r="F338" s="18">
        <v>4</v>
      </c>
      <c r="G338" s="39">
        <v>10763</v>
      </c>
      <c r="H338" s="39">
        <v>43052</v>
      </c>
      <c r="I338" s="18" t="s">
        <v>33</v>
      </c>
    </row>
    <row r="339" spans="1:9" x14ac:dyDescent="0.3">
      <c r="A339" s="18" t="s">
        <v>383</v>
      </c>
      <c r="B339" s="38">
        <v>46313</v>
      </c>
      <c r="C339" s="18" t="s">
        <v>62</v>
      </c>
      <c r="D339" s="18" t="s">
        <v>26</v>
      </c>
      <c r="E339" s="18" t="s">
        <v>27</v>
      </c>
      <c r="F339" s="18">
        <v>4</v>
      </c>
      <c r="G339" s="39">
        <v>13309</v>
      </c>
      <c r="H339" s="39">
        <v>53236</v>
      </c>
      <c r="I339" s="18" t="s">
        <v>33</v>
      </c>
    </row>
    <row r="340" spans="1:9" x14ac:dyDescent="0.3">
      <c r="A340" s="18" t="s">
        <v>384</v>
      </c>
      <c r="B340" s="38">
        <v>46303</v>
      </c>
      <c r="C340" s="18" t="s">
        <v>56</v>
      </c>
      <c r="D340" s="18" t="s">
        <v>31</v>
      </c>
      <c r="E340" s="18" t="s">
        <v>49</v>
      </c>
      <c r="F340" s="18">
        <v>5</v>
      </c>
      <c r="G340" s="39">
        <v>3376</v>
      </c>
      <c r="H340" s="39">
        <v>16880</v>
      </c>
      <c r="I340" s="18" t="s">
        <v>39</v>
      </c>
    </row>
    <row r="341" spans="1:9" x14ac:dyDescent="0.3">
      <c r="A341" s="18" t="s">
        <v>385</v>
      </c>
      <c r="B341" s="38">
        <v>46311</v>
      </c>
      <c r="C341" s="18" t="s">
        <v>56</v>
      </c>
      <c r="D341" s="18" t="s">
        <v>36</v>
      </c>
      <c r="E341" s="18" t="s">
        <v>49</v>
      </c>
      <c r="F341" s="18">
        <v>3</v>
      </c>
      <c r="G341" s="39">
        <v>823</v>
      </c>
      <c r="H341" s="39">
        <v>2469</v>
      </c>
      <c r="I341" s="18" t="s">
        <v>28</v>
      </c>
    </row>
    <row r="342" spans="1:9" x14ac:dyDescent="0.3">
      <c r="A342" s="18" t="s">
        <v>386</v>
      </c>
      <c r="B342" s="38">
        <v>46311</v>
      </c>
      <c r="C342" s="18" t="s">
        <v>48</v>
      </c>
      <c r="D342" s="18" t="s">
        <v>31</v>
      </c>
      <c r="E342" s="18" t="s">
        <v>46</v>
      </c>
      <c r="F342" s="18">
        <v>1</v>
      </c>
      <c r="G342" s="39">
        <v>6071</v>
      </c>
      <c r="H342" s="39">
        <v>6071</v>
      </c>
      <c r="I342" s="18" t="s">
        <v>39</v>
      </c>
    </row>
    <row r="343" spans="1:9" x14ac:dyDescent="0.3">
      <c r="A343" s="18" t="s">
        <v>387</v>
      </c>
      <c r="B343" s="38">
        <v>46297</v>
      </c>
      <c r="C343" s="18" t="s">
        <v>25</v>
      </c>
      <c r="D343" s="18" t="s">
        <v>41</v>
      </c>
      <c r="E343" s="18" t="s">
        <v>27</v>
      </c>
      <c r="F343" s="18">
        <v>4</v>
      </c>
      <c r="G343" s="39">
        <v>4727</v>
      </c>
      <c r="H343" s="39">
        <v>18908</v>
      </c>
      <c r="I343" s="18" t="s">
        <v>28</v>
      </c>
    </row>
    <row r="344" spans="1:9" x14ac:dyDescent="0.3">
      <c r="A344" s="18" t="s">
        <v>388</v>
      </c>
      <c r="B344" s="38">
        <v>46296</v>
      </c>
      <c r="C344" s="18" t="s">
        <v>52</v>
      </c>
      <c r="D344" s="18" t="s">
        <v>31</v>
      </c>
      <c r="E344" s="18" t="s">
        <v>32</v>
      </c>
      <c r="F344" s="18">
        <v>6</v>
      </c>
      <c r="G344" s="39">
        <v>695</v>
      </c>
      <c r="H344" s="39">
        <v>4170</v>
      </c>
      <c r="I344" s="18" t="s">
        <v>33</v>
      </c>
    </row>
    <row r="345" spans="1:9" x14ac:dyDescent="0.3">
      <c r="A345" s="18" t="s">
        <v>389</v>
      </c>
      <c r="B345" s="38">
        <v>46311</v>
      </c>
      <c r="C345" s="18" t="s">
        <v>56</v>
      </c>
      <c r="D345" s="18" t="s">
        <v>38</v>
      </c>
      <c r="E345" s="18" t="s">
        <v>46</v>
      </c>
      <c r="F345" s="18">
        <v>7</v>
      </c>
      <c r="G345" s="39">
        <v>1976</v>
      </c>
      <c r="H345" s="39">
        <v>13832</v>
      </c>
      <c r="I345" s="18" t="s">
        <v>33</v>
      </c>
    </row>
    <row r="346" spans="1:9" x14ac:dyDescent="0.3">
      <c r="A346" s="18" t="s">
        <v>390</v>
      </c>
      <c r="B346" s="38">
        <v>46304</v>
      </c>
      <c r="C346" s="18" t="s">
        <v>54</v>
      </c>
      <c r="D346" s="18" t="s">
        <v>38</v>
      </c>
      <c r="E346" s="18" t="s">
        <v>42</v>
      </c>
      <c r="F346" s="18">
        <v>7</v>
      </c>
      <c r="G346" s="39">
        <v>1568</v>
      </c>
      <c r="H346" s="39">
        <v>10976</v>
      </c>
      <c r="I346" s="18" t="s">
        <v>33</v>
      </c>
    </row>
    <row r="347" spans="1:9" x14ac:dyDescent="0.3">
      <c r="A347" s="18" t="s">
        <v>391</v>
      </c>
      <c r="B347" s="38">
        <v>46299</v>
      </c>
      <c r="C347" s="18" t="s">
        <v>48</v>
      </c>
      <c r="D347" s="18" t="s">
        <v>36</v>
      </c>
      <c r="E347" s="18" t="s">
        <v>27</v>
      </c>
      <c r="F347" s="18">
        <v>5</v>
      </c>
      <c r="G347" s="39">
        <v>29212</v>
      </c>
      <c r="H347" s="39">
        <v>146060</v>
      </c>
      <c r="I347" s="18" t="s">
        <v>33</v>
      </c>
    </row>
    <row r="348" spans="1:9" x14ac:dyDescent="0.3">
      <c r="A348" s="18" t="s">
        <v>392</v>
      </c>
      <c r="B348" s="38">
        <v>46308</v>
      </c>
      <c r="C348" s="18" t="s">
        <v>30</v>
      </c>
      <c r="D348" s="18" t="s">
        <v>26</v>
      </c>
      <c r="E348" s="18" t="s">
        <v>32</v>
      </c>
      <c r="F348" s="18">
        <v>8</v>
      </c>
      <c r="G348" s="39">
        <v>4828</v>
      </c>
      <c r="H348" s="39">
        <v>38624</v>
      </c>
      <c r="I348" s="18" t="s">
        <v>33</v>
      </c>
    </row>
    <row r="349" spans="1:9" x14ac:dyDescent="0.3">
      <c r="A349" s="18" t="s">
        <v>393</v>
      </c>
      <c r="B349" s="38">
        <v>46303</v>
      </c>
      <c r="C349" s="18" t="s">
        <v>54</v>
      </c>
      <c r="D349" s="18" t="s">
        <v>38</v>
      </c>
      <c r="E349" s="18" t="s">
        <v>46</v>
      </c>
      <c r="F349" s="18">
        <v>2</v>
      </c>
      <c r="G349" s="39">
        <v>27760</v>
      </c>
      <c r="H349" s="39">
        <v>55520</v>
      </c>
      <c r="I349" s="18" t="s">
        <v>33</v>
      </c>
    </row>
    <row r="350" spans="1:9" x14ac:dyDescent="0.3">
      <c r="A350" s="18" t="s">
        <v>394</v>
      </c>
      <c r="B350" s="38">
        <v>46313</v>
      </c>
      <c r="C350" s="18" t="s">
        <v>56</v>
      </c>
      <c r="D350" s="18" t="s">
        <v>38</v>
      </c>
      <c r="E350" s="18" t="s">
        <v>46</v>
      </c>
      <c r="F350" s="18">
        <v>3</v>
      </c>
      <c r="G350" s="39">
        <v>6618</v>
      </c>
      <c r="H350" s="39">
        <v>19854</v>
      </c>
      <c r="I350" s="18" t="s">
        <v>33</v>
      </c>
    </row>
    <row r="351" spans="1:9" x14ac:dyDescent="0.3">
      <c r="A351" s="18" t="s">
        <v>395</v>
      </c>
      <c r="B351" s="38">
        <v>46309</v>
      </c>
      <c r="C351" s="18" t="s">
        <v>44</v>
      </c>
      <c r="D351" s="18" t="s">
        <v>31</v>
      </c>
      <c r="E351" s="18" t="s">
        <v>46</v>
      </c>
      <c r="F351" s="18">
        <v>1</v>
      </c>
      <c r="G351" s="39">
        <v>16257</v>
      </c>
      <c r="H351" s="39">
        <v>16257</v>
      </c>
      <c r="I351" s="18" t="s">
        <v>33</v>
      </c>
    </row>
    <row r="352" spans="1:9" x14ac:dyDescent="0.3">
      <c r="A352" s="18" t="s">
        <v>396</v>
      </c>
      <c r="B352" s="38">
        <v>46311</v>
      </c>
      <c r="C352" s="18" t="s">
        <v>54</v>
      </c>
      <c r="D352" s="18" t="s">
        <v>38</v>
      </c>
      <c r="E352" s="18" t="s">
        <v>46</v>
      </c>
      <c r="F352" s="18">
        <v>5</v>
      </c>
      <c r="G352" s="39">
        <v>36788</v>
      </c>
      <c r="H352" s="39">
        <v>183940</v>
      </c>
      <c r="I352" s="18" t="s">
        <v>33</v>
      </c>
    </row>
    <row r="353" spans="1:9" x14ac:dyDescent="0.3">
      <c r="A353" s="18" t="s">
        <v>397</v>
      </c>
      <c r="B353" s="38">
        <v>46297</v>
      </c>
      <c r="C353" s="18" t="s">
        <v>48</v>
      </c>
      <c r="D353" s="18" t="s">
        <v>26</v>
      </c>
      <c r="E353" s="18" t="s">
        <v>46</v>
      </c>
      <c r="F353" s="18">
        <v>4</v>
      </c>
      <c r="G353" s="39">
        <v>39671</v>
      </c>
      <c r="H353" s="39">
        <v>158684</v>
      </c>
      <c r="I353" s="18" t="s">
        <v>33</v>
      </c>
    </row>
    <row r="354" spans="1:9" x14ac:dyDescent="0.3">
      <c r="A354" s="18" t="s">
        <v>398</v>
      </c>
      <c r="B354" s="38">
        <v>46308</v>
      </c>
      <c r="C354" s="18" t="s">
        <v>30</v>
      </c>
      <c r="D354" s="18" t="s">
        <v>26</v>
      </c>
      <c r="E354" s="18" t="s">
        <v>27</v>
      </c>
      <c r="F354" s="18">
        <v>4</v>
      </c>
      <c r="G354" s="39">
        <v>21069</v>
      </c>
      <c r="H354" s="39">
        <v>84276</v>
      </c>
      <c r="I354" s="18" t="s">
        <v>39</v>
      </c>
    </row>
    <row r="355" spans="1:9" x14ac:dyDescent="0.3">
      <c r="A355" s="18" t="s">
        <v>399</v>
      </c>
      <c r="B355" s="38">
        <v>46308</v>
      </c>
      <c r="C355" s="18" t="s">
        <v>44</v>
      </c>
      <c r="D355" s="18" t="s">
        <v>41</v>
      </c>
      <c r="E355" s="18" t="s">
        <v>27</v>
      </c>
      <c r="F355" s="18">
        <v>2</v>
      </c>
      <c r="G355" s="39">
        <v>18909</v>
      </c>
      <c r="H355" s="39">
        <v>37818</v>
      </c>
      <c r="I355" s="18" t="s">
        <v>28</v>
      </c>
    </row>
    <row r="356" spans="1:9" x14ac:dyDescent="0.3">
      <c r="A356" s="18" t="s">
        <v>400</v>
      </c>
      <c r="B356" s="38">
        <v>46307</v>
      </c>
      <c r="C356" s="18" t="s">
        <v>25</v>
      </c>
      <c r="D356" s="18" t="s">
        <v>38</v>
      </c>
      <c r="E356" s="18" t="s">
        <v>32</v>
      </c>
      <c r="F356" s="18">
        <v>4</v>
      </c>
      <c r="G356" s="39">
        <v>7070</v>
      </c>
      <c r="H356" s="39">
        <v>28280</v>
      </c>
      <c r="I356" s="18" t="s">
        <v>33</v>
      </c>
    </row>
    <row r="357" spans="1:9" x14ac:dyDescent="0.3">
      <c r="A357" s="18" t="s">
        <v>401</v>
      </c>
      <c r="B357" s="38">
        <v>46308</v>
      </c>
      <c r="C357" s="18" t="s">
        <v>44</v>
      </c>
      <c r="D357" s="18" t="s">
        <v>38</v>
      </c>
      <c r="E357" s="18" t="s">
        <v>49</v>
      </c>
      <c r="F357" s="18">
        <v>8</v>
      </c>
      <c r="G357" s="39">
        <v>2259</v>
      </c>
      <c r="H357" s="39">
        <v>18072</v>
      </c>
      <c r="I357" s="18" t="s">
        <v>33</v>
      </c>
    </row>
    <row r="358" spans="1:9" x14ac:dyDescent="0.3">
      <c r="A358" s="18" t="s">
        <v>402</v>
      </c>
      <c r="B358" s="38">
        <v>46313</v>
      </c>
      <c r="C358" s="18" t="s">
        <v>62</v>
      </c>
      <c r="D358" s="18" t="s">
        <v>41</v>
      </c>
      <c r="E358" s="18" t="s">
        <v>27</v>
      </c>
      <c r="F358" s="18">
        <v>7</v>
      </c>
      <c r="G358" s="39">
        <v>5308</v>
      </c>
      <c r="H358" s="39">
        <v>37156</v>
      </c>
      <c r="I358" s="18" t="s">
        <v>39</v>
      </c>
    </row>
    <row r="359" spans="1:9" x14ac:dyDescent="0.3">
      <c r="A359" s="18" t="s">
        <v>403</v>
      </c>
      <c r="B359" s="38">
        <v>46305</v>
      </c>
      <c r="C359" s="18" t="s">
        <v>52</v>
      </c>
      <c r="D359" s="18" t="s">
        <v>38</v>
      </c>
      <c r="E359" s="18" t="s">
        <v>46</v>
      </c>
      <c r="F359" s="18">
        <v>5</v>
      </c>
      <c r="G359" s="39">
        <v>11307</v>
      </c>
      <c r="H359" s="39">
        <v>56535</v>
      </c>
      <c r="I359" s="18" t="s">
        <v>33</v>
      </c>
    </row>
    <row r="360" spans="1:9" x14ac:dyDescent="0.3">
      <c r="A360" s="18" t="s">
        <v>404</v>
      </c>
      <c r="B360" s="38">
        <v>46300</v>
      </c>
      <c r="C360" s="18" t="s">
        <v>62</v>
      </c>
      <c r="D360" s="18" t="s">
        <v>26</v>
      </c>
      <c r="E360" s="18" t="s">
        <v>49</v>
      </c>
      <c r="F360" s="18">
        <v>2</v>
      </c>
      <c r="G360" s="39">
        <v>624</v>
      </c>
      <c r="H360" s="39">
        <v>1248</v>
      </c>
      <c r="I360" s="18" t="s">
        <v>33</v>
      </c>
    </row>
    <row r="361" spans="1:9" x14ac:dyDescent="0.3">
      <c r="A361" s="18" t="s">
        <v>405</v>
      </c>
      <c r="B361" s="38">
        <v>46305</v>
      </c>
      <c r="C361" s="18" t="s">
        <v>56</v>
      </c>
      <c r="D361" s="18" t="s">
        <v>26</v>
      </c>
      <c r="E361" s="18" t="s">
        <v>49</v>
      </c>
      <c r="F361" s="18">
        <v>2</v>
      </c>
      <c r="G361" s="39">
        <v>792</v>
      </c>
      <c r="H361" s="39">
        <v>1584</v>
      </c>
      <c r="I361" s="18" t="s">
        <v>33</v>
      </c>
    </row>
    <row r="362" spans="1:9" x14ac:dyDescent="0.3">
      <c r="A362" s="18" t="s">
        <v>406</v>
      </c>
      <c r="B362" s="38">
        <v>46309</v>
      </c>
      <c r="C362" s="18" t="s">
        <v>56</v>
      </c>
      <c r="D362" s="18" t="s">
        <v>31</v>
      </c>
      <c r="E362" s="18" t="s">
        <v>42</v>
      </c>
      <c r="F362" s="18">
        <v>7</v>
      </c>
      <c r="G362" s="39">
        <v>946</v>
      </c>
      <c r="H362" s="39">
        <v>6622</v>
      </c>
      <c r="I362" s="18" t="s">
        <v>33</v>
      </c>
    </row>
    <row r="363" spans="1:9" x14ac:dyDescent="0.3">
      <c r="A363" s="18" t="s">
        <v>407</v>
      </c>
      <c r="B363" s="38">
        <v>46307</v>
      </c>
      <c r="C363" s="18" t="s">
        <v>30</v>
      </c>
      <c r="D363" s="18" t="s">
        <v>31</v>
      </c>
      <c r="E363" s="18" t="s">
        <v>42</v>
      </c>
      <c r="F363" s="18">
        <v>6</v>
      </c>
      <c r="G363" s="39">
        <v>3255</v>
      </c>
      <c r="H363" s="39">
        <v>19530</v>
      </c>
      <c r="I363" s="18" t="s">
        <v>33</v>
      </c>
    </row>
    <row r="364" spans="1:9" x14ac:dyDescent="0.3">
      <c r="A364" s="18" t="s">
        <v>408</v>
      </c>
      <c r="B364" s="38">
        <v>46309</v>
      </c>
      <c r="C364" s="18" t="s">
        <v>62</v>
      </c>
      <c r="D364" s="18" t="s">
        <v>38</v>
      </c>
      <c r="E364" s="18" t="s">
        <v>42</v>
      </c>
      <c r="F364" s="18">
        <v>4</v>
      </c>
      <c r="G364" s="39">
        <v>4785</v>
      </c>
      <c r="H364" s="39">
        <v>19140</v>
      </c>
      <c r="I364" s="18" t="s">
        <v>33</v>
      </c>
    </row>
    <row r="365" spans="1:9" x14ac:dyDescent="0.3">
      <c r="A365" s="18" t="s">
        <v>409</v>
      </c>
      <c r="B365" s="38">
        <v>46308</v>
      </c>
      <c r="C365" s="18" t="s">
        <v>48</v>
      </c>
      <c r="D365" s="18" t="s">
        <v>36</v>
      </c>
      <c r="E365" s="18" t="s">
        <v>49</v>
      </c>
      <c r="F365" s="18">
        <v>5</v>
      </c>
      <c r="G365" s="39">
        <v>1349</v>
      </c>
      <c r="H365" s="39">
        <v>6745</v>
      </c>
      <c r="I365" s="18" t="s">
        <v>33</v>
      </c>
    </row>
    <row r="366" spans="1:9" x14ac:dyDescent="0.3">
      <c r="A366" s="18" t="s">
        <v>410</v>
      </c>
      <c r="B366" s="38">
        <v>46298</v>
      </c>
      <c r="C366" s="18" t="s">
        <v>48</v>
      </c>
      <c r="D366" s="18" t="s">
        <v>41</v>
      </c>
      <c r="E366" s="18" t="s">
        <v>49</v>
      </c>
      <c r="F366" s="18">
        <v>7</v>
      </c>
      <c r="G366" s="39">
        <v>1477</v>
      </c>
      <c r="H366" s="39">
        <v>10339</v>
      </c>
      <c r="I366" s="18" t="s">
        <v>33</v>
      </c>
    </row>
    <row r="367" spans="1:9" x14ac:dyDescent="0.3">
      <c r="A367" s="18" t="s">
        <v>411</v>
      </c>
      <c r="B367" s="38">
        <v>46298</v>
      </c>
      <c r="C367" s="18" t="s">
        <v>44</v>
      </c>
      <c r="D367" s="18" t="s">
        <v>26</v>
      </c>
      <c r="E367" s="18" t="s">
        <v>27</v>
      </c>
      <c r="F367" s="18">
        <v>8</v>
      </c>
      <c r="G367" s="39">
        <v>21957</v>
      </c>
      <c r="H367" s="39">
        <v>175656</v>
      </c>
      <c r="I367" s="18" t="s">
        <v>33</v>
      </c>
    </row>
    <row r="368" spans="1:9" x14ac:dyDescent="0.3">
      <c r="A368" s="18" t="s">
        <v>412</v>
      </c>
      <c r="B368" s="38">
        <v>46310</v>
      </c>
      <c r="C368" s="18" t="s">
        <v>30</v>
      </c>
      <c r="D368" s="18" t="s">
        <v>36</v>
      </c>
      <c r="E368" s="18" t="s">
        <v>49</v>
      </c>
      <c r="F368" s="18">
        <v>1</v>
      </c>
      <c r="G368" s="39">
        <v>1870</v>
      </c>
      <c r="H368" s="39">
        <v>1870</v>
      </c>
      <c r="I368" s="18" t="s">
        <v>33</v>
      </c>
    </row>
    <row r="369" spans="1:9" x14ac:dyDescent="0.3">
      <c r="A369" s="18" t="s">
        <v>413</v>
      </c>
      <c r="B369" s="38">
        <v>46308</v>
      </c>
      <c r="C369" s="18" t="s">
        <v>44</v>
      </c>
      <c r="D369" s="18" t="s">
        <v>41</v>
      </c>
      <c r="E369" s="18" t="s">
        <v>49</v>
      </c>
      <c r="F369" s="18">
        <v>7</v>
      </c>
      <c r="G369" s="39">
        <v>2916</v>
      </c>
      <c r="H369" s="39">
        <v>20412</v>
      </c>
      <c r="I369" s="18" t="s">
        <v>79</v>
      </c>
    </row>
    <row r="370" spans="1:9" x14ac:dyDescent="0.3">
      <c r="A370" s="18" t="s">
        <v>414</v>
      </c>
      <c r="B370" s="38">
        <v>46300</v>
      </c>
      <c r="C370" s="18" t="s">
        <v>54</v>
      </c>
      <c r="D370" s="18" t="s">
        <v>26</v>
      </c>
      <c r="E370" s="18" t="s">
        <v>42</v>
      </c>
      <c r="F370" s="18">
        <v>4</v>
      </c>
      <c r="G370" s="39">
        <v>4024</v>
      </c>
      <c r="H370" s="39">
        <v>16096</v>
      </c>
      <c r="I370" s="18" t="s">
        <v>33</v>
      </c>
    </row>
    <row r="371" spans="1:9" x14ac:dyDescent="0.3">
      <c r="A371" s="18" t="s">
        <v>415</v>
      </c>
      <c r="B371" s="38">
        <v>46308</v>
      </c>
      <c r="C371" s="18" t="s">
        <v>44</v>
      </c>
      <c r="D371" s="18" t="s">
        <v>26</v>
      </c>
      <c r="E371" s="18" t="s">
        <v>32</v>
      </c>
      <c r="F371" s="18">
        <v>4</v>
      </c>
      <c r="G371" s="39">
        <v>2869</v>
      </c>
      <c r="H371" s="39">
        <v>11476</v>
      </c>
      <c r="I371" s="18" t="s">
        <v>33</v>
      </c>
    </row>
    <row r="372" spans="1:9" x14ac:dyDescent="0.3">
      <c r="A372" s="18" t="s">
        <v>416</v>
      </c>
      <c r="B372" s="38">
        <v>46308</v>
      </c>
      <c r="C372" s="18" t="s">
        <v>44</v>
      </c>
      <c r="D372" s="18" t="s">
        <v>38</v>
      </c>
      <c r="E372" s="18" t="s">
        <v>42</v>
      </c>
      <c r="F372" s="18">
        <v>4</v>
      </c>
      <c r="G372" s="39">
        <v>4951</v>
      </c>
      <c r="H372" s="39">
        <v>19804</v>
      </c>
      <c r="I372" s="18" t="s">
        <v>79</v>
      </c>
    </row>
    <row r="373" spans="1:9" x14ac:dyDescent="0.3">
      <c r="A373" s="18" t="s">
        <v>417</v>
      </c>
      <c r="B373" s="38">
        <v>46301</v>
      </c>
      <c r="C373" s="18" t="s">
        <v>25</v>
      </c>
      <c r="D373" s="18" t="s">
        <v>41</v>
      </c>
      <c r="E373" s="18" t="s">
        <v>27</v>
      </c>
      <c r="F373" s="18">
        <v>8</v>
      </c>
      <c r="G373" s="39">
        <v>28638</v>
      </c>
      <c r="H373" s="39">
        <v>229104</v>
      </c>
      <c r="I373" s="18" t="s">
        <v>33</v>
      </c>
    </row>
    <row r="374" spans="1:9" x14ac:dyDescent="0.3">
      <c r="A374" s="18" t="s">
        <v>418</v>
      </c>
      <c r="B374" s="38">
        <v>46298</v>
      </c>
      <c r="C374" s="18" t="s">
        <v>62</v>
      </c>
      <c r="D374" s="18" t="s">
        <v>41</v>
      </c>
      <c r="E374" s="18" t="s">
        <v>27</v>
      </c>
      <c r="F374" s="18">
        <v>5</v>
      </c>
      <c r="G374" s="39">
        <v>10430</v>
      </c>
      <c r="H374" s="39">
        <v>52150</v>
      </c>
      <c r="I374" s="18" t="s">
        <v>33</v>
      </c>
    </row>
    <row r="375" spans="1:9" x14ac:dyDescent="0.3">
      <c r="A375" s="18" t="s">
        <v>419</v>
      </c>
      <c r="B375" s="38">
        <v>46300</v>
      </c>
      <c r="C375" s="18" t="s">
        <v>62</v>
      </c>
      <c r="D375" s="18" t="s">
        <v>41</v>
      </c>
      <c r="E375" s="18" t="s">
        <v>46</v>
      </c>
      <c r="F375" s="18">
        <v>8</v>
      </c>
      <c r="G375" s="39">
        <v>40386</v>
      </c>
      <c r="H375" s="39">
        <v>323088</v>
      </c>
      <c r="I375" s="18" t="s">
        <v>33</v>
      </c>
    </row>
    <row r="376" spans="1:9" x14ac:dyDescent="0.3">
      <c r="A376" s="18" t="s">
        <v>420</v>
      </c>
      <c r="B376" s="38">
        <v>46308</v>
      </c>
      <c r="C376" s="18" t="s">
        <v>62</v>
      </c>
      <c r="D376" s="18" t="s">
        <v>31</v>
      </c>
      <c r="E376" s="18" t="s">
        <v>46</v>
      </c>
      <c r="F376" s="18">
        <v>6</v>
      </c>
      <c r="G376" s="39">
        <v>36386</v>
      </c>
      <c r="H376" s="39">
        <v>218316</v>
      </c>
      <c r="I376" s="18" t="s">
        <v>33</v>
      </c>
    </row>
    <row r="377" spans="1:9" x14ac:dyDescent="0.3">
      <c r="A377" s="18" t="s">
        <v>421</v>
      </c>
      <c r="B377" s="38">
        <v>46298</v>
      </c>
      <c r="C377" s="18" t="s">
        <v>30</v>
      </c>
      <c r="D377" s="18" t="s">
        <v>36</v>
      </c>
      <c r="E377" s="18" t="s">
        <v>49</v>
      </c>
      <c r="F377" s="18">
        <v>3</v>
      </c>
      <c r="G377" s="39">
        <v>2900</v>
      </c>
      <c r="H377" s="39">
        <v>8700</v>
      </c>
      <c r="I377" s="18" t="s">
        <v>33</v>
      </c>
    </row>
    <row r="378" spans="1:9" x14ac:dyDescent="0.3">
      <c r="A378" s="18" t="s">
        <v>422</v>
      </c>
      <c r="B378" s="38">
        <v>46308</v>
      </c>
      <c r="C378" s="18" t="s">
        <v>44</v>
      </c>
      <c r="D378" s="18" t="s">
        <v>41</v>
      </c>
      <c r="E378" s="18" t="s">
        <v>46</v>
      </c>
      <c r="F378" s="18">
        <v>1</v>
      </c>
      <c r="G378" s="39">
        <v>7662</v>
      </c>
      <c r="H378" s="39">
        <v>7662</v>
      </c>
      <c r="I378" s="18" t="s">
        <v>33</v>
      </c>
    </row>
    <row r="379" spans="1:9" x14ac:dyDescent="0.3">
      <c r="A379" s="18" t="s">
        <v>423</v>
      </c>
      <c r="B379" s="38">
        <v>46312</v>
      </c>
      <c r="C379" s="18" t="s">
        <v>52</v>
      </c>
      <c r="D379" s="18" t="s">
        <v>41</v>
      </c>
      <c r="E379" s="18" t="s">
        <v>49</v>
      </c>
      <c r="F379" s="18">
        <v>7</v>
      </c>
      <c r="G379" s="39">
        <v>2146</v>
      </c>
      <c r="H379" s="39">
        <v>15022</v>
      </c>
      <c r="I379" s="18" t="s">
        <v>39</v>
      </c>
    </row>
    <row r="380" spans="1:9" x14ac:dyDescent="0.3">
      <c r="A380" s="18" t="s">
        <v>424</v>
      </c>
      <c r="B380" s="38">
        <v>46312</v>
      </c>
      <c r="C380" s="18" t="s">
        <v>48</v>
      </c>
      <c r="D380" s="18" t="s">
        <v>26</v>
      </c>
      <c r="E380" s="18" t="s">
        <v>46</v>
      </c>
      <c r="F380" s="18">
        <v>8</v>
      </c>
      <c r="G380" s="39">
        <v>8051</v>
      </c>
      <c r="H380" s="39">
        <v>64408</v>
      </c>
      <c r="I380" s="18" t="s">
        <v>33</v>
      </c>
    </row>
    <row r="381" spans="1:9" x14ac:dyDescent="0.3">
      <c r="A381" s="18" t="s">
        <v>425</v>
      </c>
      <c r="B381" s="38">
        <v>46298</v>
      </c>
      <c r="C381" s="18" t="s">
        <v>30</v>
      </c>
      <c r="D381" s="18" t="s">
        <v>36</v>
      </c>
      <c r="E381" s="18" t="s">
        <v>49</v>
      </c>
      <c r="F381" s="18">
        <v>5</v>
      </c>
      <c r="G381" s="39">
        <v>1655</v>
      </c>
      <c r="H381" s="39">
        <v>8275</v>
      </c>
      <c r="I381" s="18" t="s">
        <v>33</v>
      </c>
    </row>
    <row r="382" spans="1:9" x14ac:dyDescent="0.3">
      <c r="A382" s="18" t="s">
        <v>426</v>
      </c>
      <c r="B382" s="38">
        <v>46302</v>
      </c>
      <c r="C382" s="18" t="s">
        <v>56</v>
      </c>
      <c r="D382" s="18" t="s">
        <v>26</v>
      </c>
      <c r="E382" s="18" t="s">
        <v>32</v>
      </c>
      <c r="F382" s="18">
        <v>2</v>
      </c>
      <c r="G382" s="39">
        <v>3789</v>
      </c>
      <c r="H382" s="39">
        <v>7578</v>
      </c>
      <c r="I382" s="18" t="s">
        <v>28</v>
      </c>
    </row>
    <row r="383" spans="1:9" x14ac:dyDescent="0.3">
      <c r="A383" s="18" t="s">
        <v>427</v>
      </c>
      <c r="B383" s="38">
        <v>46310</v>
      </c>
      <c r="C383" s="18" t="s">
        <v>44</v>
      </c>
      <c r="D383" s="18" t="s">
        <v>38</v>
      </c>
      <c r="E383" s="18" t="s">
        <v>49</v>
      </c>
      <c r="F383" s="18">
        <v>1</v>
      </c>
      <c r="G383" s="39">
        <v>3161</v>
      </c>
      <c r="H383" s="39">
        <v>3161</v>
      </c>
      <c r="I383" s="18" t="s">
        <v>33</v>
      </c>
    </row>
    <row r="384" spans="1:9" x14ac:dyDescent="0.3">
      <c r="A384" s="18" t="s">
        <v>428</v>
      </c>
      <c r="B384" s="38">
        <v>46306</v>
      </c>
      <c r="C384" s="18" t="s">
        <v>30</v>
      </c>
      <c r="D384" s="18" t="s">
        <v>36</v>
      </c>
      <c r="E384" s="18" t="s">
        <v>27</v>
      </c>
      <c r="F384" s="18">
        <v>3</v>
      </c>
      <c r="G384" s="39">
        <v>20584</v>
      </c>
      <c r="H384" s="39">
        <v>61752</v>
      </c>
      <c r="I384" s="18" t="s">
        <v>33</v>
      </c>
    </row>
    <row r="385" spans="1:9" x14ac:dyDescent="0.3">
      <c r="A385" s="18" t="s">
        <v>429</v>
      </c>
      <c r="B385" s="38">
        <v>46313</v>
      </c>
      <c r="C385" s="18" t="s">
        <v>62</v>
      </c>
      <c r="D385" s="18" t="s">
        <v>41</v>
      </c>
      <c r="E385" s="18" t="s">
        <v>27</v>
      </c>
      <c r="F385" s="18">
        <v>7</v>
      </c>
      <c r="G385" s="39">
        <v>23135</v>
      </c>
      <c r="H385" s="39">
        <v>161945</v>
      </c>
      <c r="I385" s="18" t="s">
        <v>33</v>
      </c>
    </row>
    <row r="386" spans="1:9" x14ac:dyDescent="0.3">
      <c r="A386" s="18" t="s">
        <v>430</v>
      </c>
      <c r="B386" s="38">
        <v>46309</v>
      </c>
      <c r="C386" s="18" t="s">
        <v>62</v>
      </c>
      <c r="D386" s="18" t="s">
        <v>38</v>
      </c>
      <c r="E386" s="18" t="s">
        <v>42</v>
      </c>
      <c r="F386" s="18">
        <v>4</v>
      </c>
      <c r="G386" s="39">
        <v>3782</v>
      </c>
      <c r="H386" s="39">
        <v>15128</v>
      </c>
      <c r="I386" s="18" t="s">
        <v>33</v>
      </c>
    </row>
    <row r="387" spans="1:9" x14ac:dyDescent="0.3">
      <c r="A387" s="18" t="s">
        <v>431</v>
      </c>
      <c r="B387" s="38">
        <v>46308</v>
      </c>
      <c r="C387" s="18" t="s">
        <v>25</v>
      </c>
      <c r="D387" s="18" t="s">
        <v>36</v>
      </c>
      <c r="E387" s="18" t="s">
        <v>27</v>
      </c>
      <c r="F387" s="18">
        <v>5</v>
      </c>
      <c r="G387" s="39">
        <v>27152</v>
      </c>
      <c r="H387" s="39">
        <v>135760</v>
      </c>
      <c r="I387" s="18" t="s">
        <v>28</v>
      </c>
    </row>
    <row r="388" spans="1:9" x14ac:dyDescent="0.3">
      <c r="A388" s="18" t="s">
        <v>432</v>
      </c>
      <c r="B388" s="38">
        <v>46298</v>
      </c>
      <c r="C388" s="18" t="s">
        <v>30</v>
      </c>
      <c r="D388" s="18" t="s">
        <v>31</v>
      </c>
      <c r="E388" s="18" t="s">
        <v>27</v>
      </c>
      <c r="F388" s="18">
        <v>6</v>
      </c>
      <c r="G388" s="39">
        <v>13181</v>
      </c>
      <c r="H388" s="39">
        <v>79086</v>
      </c>
      <c r="I388" s="18" t="s">
        <v>33</v>
      </c>
    </row>
    <row r="389" spans="1:9" x14ac:dyDescent="0.3">
      <c r="A389" s="18" t="s">
        <v>433</v>
      </c>
      <c r="B389" s="38">
        <v>46299</v>
      </c>
      <c r="C389" s="18" t="s">
        <v>54</v>
      </c>
      <c r="D389" s="18" t="s">
        <v>41</v>
      </c>
      <c r="E389" s="18" t="s">
        <v>42</v>
      </c>
      <c r="F389" s="18">
        <v>6</v>
      </c>
      <c r="G389" s="39">
        <v>4990</v>
      </c>
      <c r="H389" s="39">
        <v>29940</v>
      </c>
      <c r="I389" s="18" t="s">
        <v>33</v>
      </c>
    </row>
    <row r="390" spans="1:9" x14ac:dyDescent="0.3">
      <c r="A390" s="18" t="s">
        <v>434</v>
      </c>
      <c r="B390" s="38">
        <v>46308</v>
      </c>
      <c r="C390" s="18" t="s">
        <v>30</v>
      </c>
      <c r="D390" s="18" t="s">
        <v>26</v>
      </c>
      <c r="E390" s="18" t="s">
        <v>49</v>
      </c>
      <c r="F390" s="18">
        <v>8</v>
      </c>
      <c r="G390" s="39">
        <v>2778</v>
      </c>
      <c r="H390" s="39">
        <v>22224</v>
      </c>
      <c r="I390" s="18" t="s">
        <v>33</v>
      </c>
    </row>
    <row r="391" spans="1:9" x14ac:dyDescent="0.3">
      <c r="A391" s="18" t="s">
        <v>435</v>
      </c>
      <c r="B391" s="38">
        <v>46305</v>
      </c>
      <c r="C391" s="18" t="s">
        <v>30</v>
      </c>
      <c r="D391" s="18" t="s">
        <v>36</v>
      </c>
      <c r="E391" s="18" t="s">
        <v>49</v>
      </c>
      <c r="F391" s="18">
        <v>2</v>
      </c>
      <c r="G391" s="39">
        <v>1227</v>
      </c>
      <c r="H391" s="39">
        <v>2454</v>
      </c>
      <c r="I391" s="18" t="s">
        <v>33</v>
      </c>
    </row>
    <row r="392" spans="1:9" x14ac:dyDescent="0.3">
      <c r="A392" s="18" t="s">
        <v>436</v>
      </c>
      <c r="B392" s="38">
        <v>46301</v>
      </c>
      <c r="C392" s="18" t="s">
        <v>44</v>
      </c>
      <c r="D392" s="18" t="s">
        <v>36</v>
      </c>
      <c r="E392" s="18" t="s">
        <v>42</v>
      </c>
      <c r="F392" s="18">
        <v>7</v>
      </c>
      <c r="G392" s="39">
        <v>3526</v>
      </c>
      <c r="H392" s="39">
        <v>24682</v>
      </c>
      <c r="I392" s="18" t="s">
        <v>33</v>
      </c>
    </row>
    <row r="393" spans="1:9" x14ac:dyDescent="0.3">
      <c r="A393" s="18" t="s">
        <v>437</v>
      </c>
      <c r="B393" s="38">
        <v>46308</v>
      </c>
      <c r="C393" s="18" t="s">
        <v>62</v>
      </c>
      <c r="D393" s="18" t="s">
        <v>36</v>
      </c>
      <c r="E393" s="18" t="s">
        <v>32</v>
      </c>
      <c r="F393" s="18">
        <v>3</v>
      </c>
      <c r="G393" s="39">
        <v>4745</v>
      </c>
      <c r="H393" s="39">
        <v>14235</v>
      </c>
      <c r="I393" s="18" t="s">
        <v>33</v>
      </c>
    </row>
    <row r="394" spans="1:9" x14ac:dyDescent="0.3">
      <c r="A394" s="18" t="s">
        <v>438</v>
      </c>
      <c r="B394" s="38">
        <v>46305</v>
      </c>
      <c r="C394" s="18" t="s">
        <v>48</v>
      </c>
      <c r="D394" s="18" t="s">
        <v>36</v>
      </c>
      <c r="E394" s="18" t="s">
        <v>49</v>
      </c>
      <c r="F394" s="18">
        <v>8</v>
      </c>
      <c r="G394" s="39">
        <v>2787</v>
      </c>
      <c r="H394" s="39">
        <v>22296</v>
      </c>
      <c r="I394" s="18" t="s">
        <v>33</v>
      </c>
    </row>
    <row r="395" spans="1:9" x14ac:dyDescent="0.3">
      <c r="A395" s="18" t="s">
        <v>439</v>
      </c>
      <c r="B395" s="38">
        <v>46307</v>
      </c>
      <c r="C395" s="18" t="s">
        <v>25</v>
      </c>
      <c r="D395" s="18" t="s">
        <v>41</v>
      </c>
      <c r="E395" s="18" t="s">
        <v>27</v>
      </c>
      <c r="F395" s="18">
        <v>4</v>
      </c>
      <c r="G395" s="39">
        <v>29212</v>
      </c>
      <c r="H395" s="39">
        <v>116848</v>
      </c>
      <c r="I395" s="18" t="s">
        <v>33</v>
      </c>
    </row>
    <row r="396" spans="1:9" x14ac:dyDescent="0.3">
      <c r="A396" s="18" t="s">
        <v>440</v>
      </c>
      <c r="B396" s="38">
        <v>46313</v>
      </c>
      <c r="C396" s="18" t="s">
        <v>56</v>
      </c>
      <c r="D396" s="18" t="s">
        <v>41</v>
      </c>
      <c r="E396" s="18" t="s">
        <v>32</v>
      </c>
      <c r="F396" s="18">
        <v>7</v>
      </c>
      <c r="G396" s="39">
        <v>6017</v>
      </c>
      <c r="H396" s="39">
        <v>42119</v>
      </c>
      <c r="I396" s="18" t="s">
        <v>39</v>
      </c>
    </row>
    <row r="397" spans="1:9" x14ac:dyDescent="0.3">
      <c r="A397" s="18" t="s">
        <v>441</v>
      </c>
      <c r="B397" s="38">
        <v>46311</v>
      </c>
      <c r="C397" s="18" t="s">
        <v>48</v>
      </c>
      <c r="D397" s="18" t="s">
        <v>38</v>
      </c>
      <c r="E397" s="18" t="s">
        <v>42</v>
      </c>
      <c r="F397" s="18">
        <v>1</v>
      </c>
      <c r="G397" s="39">
        <v>1906</v>
      </c>
      <c r="H397" s="39">
        <v>1906</v>
      </c>
      <c r="I397" s="18" t="s">
        <v>33</v>
      </c>
    </row>
    <row r="398" spans="1:9" x14ac:dyDescent="0.3">
      <c r="A398" s="18" t="s">
        <v>442</v>
      </c>
      <c r="B398" s="38">
        <v>46304</v>
      </c>
      <c r="C398" s="18" t="s">
        <v>52</v>
      </c>
      <c r="D398" s="18" t="s">
        <v>31</v>
      </c>
      <c r="E398" s="18" t="s">
        <v>49</v>
      </c>
      <c r="F398" s="18">
        <v>3</v>
      </c>
      <c r="G398" s="39">
        <v>3447</v>
      </c>
      <c r="H398" s="39">
        <v>10341</v>
      </c>
      <c r="I398" s="18" t="s">
        <v>33</v>
      </c>
    </row>
    <row r="399" spans="1:9" x14ac:dyDescent="0.3">
      <c r="A399" s="18" t="s">
        <v>443</v>
      </c>
      <c r="B399" s="38">
        <v>46311</v>
      </c>
      <c r="C399" s="18" t="s">
        <v>30</v>
      </c>
      <c r="D399" s="18" t="s">
        <v>31</v>
      </c>
      <c r="E399" s="18" t="s">
        <v>46</v>
      </c>
      <c r="F399" s="18">
        <v>5</v>
      </c>
      <c r="G399" s="39">
        <v>36793</v>
      </c>
      <c r="H399" s="39">
        <v>183965</v>
      </c>
      <c r="I399" s="18" t="s">
        <v>39</v>
      </c>
    </row>
    <row r="400" spans="1:9" x14ac:dyDescent="0.3">
      <c r="A400" s="18" t="s">
        <v>444</v>
      </c>
      <c r="B400" s="38">
        <v>46307</v>
      </c>
      <c r="C400" s="18" t="s">
        <v>25</v>
      </c>
      <c r="D400" s="18" t="s">
        <v>41</v>
      </c>
      <c r="E400" s="18" t="s">
        <v>42</v>
      </c>
      <c r="F400" s="18">
        <v>4</v>
      </c>
      <c r="G400" s="39">
        <v>3582</v>
      </c>
      <c r="H400" s="39">
        <v>14328</v>
      </c>
      <c r="I400" s="18" t="s">
        <v>33</v>
      </c>
    </row>
    <row r="401" spans="1:9" x14ac:dyDescent="0.3">
      <c r="A401" s="18" t="s">
        <v>445</v>
      </c>
      <c r="B401" s="38">
        <v>46303</v>
      </c>
      <c r="C401" s="18" t="s">
        <v>54</v>
      </c>
      <c r="D401" s="18" t="s">
        <v>38</v>
      </c>
      <c r="E401" s="18" t="s">
        <v>32</v>
      </c>
      <c r="F401" s="18">
        <v>5</v>
      </c>
      <c r="G401" s="39">
        <v>3055</v>
      </c>
      <c r="H401" s="39">
        <v>15275</v>
      </c>
      <c r="I401" s="18" t="s">
        <v>39</v>
      </c>
    </row>
    <row r="402" spans="1:9" x14ac:dyDescent="0.3">
      <c r="A402" s="18" t="s">
        <v>446</v>
      </c>
      <c r="B402" s="38">
        <v>46298</v>
      </c>
      <c r="C402" s="18" t="s">
        <v>56</v>
      </c>
      <c r="D402" s="18" t="s">
        <v>38</v>
      </c>
      <c r="E402" s="18" t="s">
        <v>27</v>
      </c>
      <c r="F402" s="18">
        <v>4</v>
      </c>
      <c r="G402" s="39">
        <v>29065</v>
      </c>
      <c r="H402" s="39">
        <v>116260</v>
      </c>
      <c r="I402" s="18" t="s">
        <v>28</v>
      </c>
    </row>
    <row r="403" spans="1:9" x14ac:dyDescent="0.3">
      <c r="A403" s="18" t="s">
        <v>447</v>
      </c>
      <c r="B403" s="38">
        <v>46307</v>
      </c>
      <c r="C403" s="18" t="s">
        <v>62</v>
      </c>
      <c r="D403" s="18" t="s">
        <v>36</v>
      </c>
      <c r="E403" s="18" t="s">
        <v>42</v>
      </c>
      <c r="F403" s="18">
        <v>3</v>
      </c>
      <c r="G403" s="39">
        <v>1792</v>
      </c>
      <c r="H403" s="39">
        <v>5376</v>
      </c>
      <c r="I403" s="18" t="s">
        <v>39</v>
      </c>
    </row>
    <row r="404" spans="1:9" x14ac:dyDescent="0.3">
      <c r="A404" s="18" t="s">
        <v>448</v>
      </c>
      <c r="B404" s="38">
        <v>46297</v>
      </c>
      <c r="C404" s="18" t="s">
        <v>44</v>
      </c>
      <c r="D404" s="18" t="s">
        <v>31</v>
      </c>
      <c r="E404" s="18" t="s">
        <v>49</v>
      </c>
      <c r="F404" s="18">
        <v>3</v>
      </c>
      <c r="G404" s="39">
        <v>1575</v>
      </c>
      <c r="H404" s="39">
        <v>4725</v>
      </c>
      <c r="I404" s="18" t="s">
        <v>79</v>
      </c>
    </row>
    <row r="405" spans="1:9" x14ac:dyDescent="0.3">
      <c r="A405" s="18" t="s">
        <v>449</v>
      </c>
      <c r="B405" s="38">
        <v>46305</v>
      </c>
      <c r="C405" s="18" t="s">
        <v>54</v>
      </c>
      <c r="D405" s="18" t="s">
        <v>31</v>
      </c>
      <c r="E405" s="18" t="s">
        <v>49</v>
      </c>
      <c r="F405" s="18">
        <v>2</v>
      </c>
      <c r="G405" s="39">
        <v>805</v>
      </c>
      <c r="H405" s="39">
        <v>1610</v>
      </c>
      <c r="I405" s="18" t="s">
        <v>79</v>
      </c>
    </row>
    <row r="406" spans="1:9" x14ac:dyDescent="0.3">
      <c r="A406" s="18" t="s">
        <v>450</v>
      </c>
      <c r="B406" s="38">
        <v>46309</v>
      </c>
      <c r="C406" s="18" t="s">
        <v>25</v>
      </c>
      <c r="D406" s="18" t="s">
        <v>26</v>
      </c>
      <c r="E406" s="18" t="s">
        <v>27</v>
      </c>
      <c r="F406" s="18">
        <v>3</v>
      </c>
      <c r="G406" s="39">
        <v>10681</v>
      </c>
      <c r="H406" s="39">
        <v>32043</v>
      </c>
      <c r="I406" s="18" t="s">
        <v>33</v>
      </c>
    </row>
    <row r="407" spans="1:9" x14ac:dyDescent="0.3">
      <c r="A407" s="18" t="s">
        <v>451</v>
      </c>
      <c r="B407" s="38">
        <v>46306</v>
      </c>
      <c r="C407" s="18" t="s">
        <v>52</v>
      </c>
      <c r="D407" s="18" t="s">
        <v>41</v>
      </c>
      <c r="E407" s="18" t="s">
        <v>32</v>
      </c>
      <c r="F407" s="18">
        <v>3</v>
      </c>
      <c r="G407" s="39">
        <v>4930</v>
      </c>
      <c r="H407" s="39">
        <v>14790</v>
      </c>
      <c r="I407" s="18" t="s">
        <v>28</v>
      </c>
    </row>
    <row r="408" spans="1:9" x14ac:dyDescent="0.3">
      <c r="A408" s="18" t="s">
        <v>452</v>
      </c>
      <c r="B408" s="38">
        <v>46309</v>
      </c>
      <c r="C408" s="18" t="s">
        <v>62</v>
      </c>
      <c r="D408" s="18" t="s">
        <v>41</v>
      </c>
      <c r="E408" s="18" t="s">
        <v>46</v>
      </c>
      <c r="F408" s="18">
        <v>2</v>
      </c>
      <c r="G408" s="39">
        <v>27601</v>
      </c>
      <c r="H408" s="39">
        <v>55202</v>
      </c>
      <c r="I408" s="18" t="s">
        <v>33</v>
      </c>
    </row>
    <row r="409" spans="1:9" x14ac:dyDescent="0.3">
      <c r="A409" s="18" t="s">
        <v>453</v>
      </c>
      <c r="B409" s="38">
        <v>46304</v>
      </c>
      <c r="C409" s="18" t="s">
        <v>44</v>
      </c>
      <c r="D409" s="18" t="s">
        <v>41</v>
      </c>
      <c r="E409" s="18" t="s">
        <v>32</v>
      </c>
      <c r="F409" s="18">
        <v>6</v>
      </c>
      <c r="G409" s="39">
        <v>4967</v>
      </c>
      <c r="H409" s="39">
        <v>29802</v>
      </c>
      <c r="I409" s="18" t="s">
        <v>33</v>
      </c>
    </row>
    <row r="410" spans="1:9" x14ac:dyDescent="0.3">
      <c r="A410" s="18" t="s">
        <v>454</v>
      </c>
      <c r="B410" s="38">
        <v>46298</v>
      </c>
      <c r="C410" s="18" t="s">
        <v>56</v>
      </c>
      <c r="D410" s="18" t="s">
        <v>26</v>
      </c>
      <c r="E410" s="18" t="s">
        <v>46</v>
      </c>
      <c r="F410" s="18">
        <v>7</v>
      </c>
      <c r="G410" s="39">
        <v>15475</v>
      </c>
      <c r="H410" s="39">
        <v>108325</v>
      </c>
      <c r="I410" s="18" t="s">
        <v>79</v>
      </c>
    </row>
    <row r="411" spans="1:9" x14ac:dyDescent="0.3">
      <c r="A411" s="18" t="s">
        <v>455</v>
      </c>
      <c r="B411" s="38">
        <v>46302</v>
      </c>
      <c r="C411" s="18" t="s">
        <v>56</v>
      </c>
      <c r="D411" s="18" t="s">
        <v>26</v>
      </c>
      <c r="E411" s="18" t="s">
        <v>49</v>
      </c>
      <c r="F411" s="18">
        <v>5</v>
      </c>
      <c r="G411" s="39">
        <v>1633</v>
      </c>
      <c r="H411" s="39">
        <v>8165</v>
      </c>
      <c r="I411" s="18" t="s">
        <v>33</v>
      </c>
    </row>
    <row r="412" spans="1:9" x14ac:dyDescent="0.3">
      <c r="A412" s="18" t="s">
        <v>456</v>
      </c>
      <c r="B412" s="38">
        <v>46300</v>
      </c>
      <c r="C412" s="18" t="s">
        <v>56</v>
      </c>
      <c r="D412" s="18" t="s">
        <v>26</v>
      </c>
      <c r="E412" s="18" t="s">
        <v>46</v>
      </c>
      <c r="F412" s="18">
        <v>1</v>
      </c>
      <c r="G412" s="39">
        <v>7725</v>
      </c>
      <c r="H412" s="39">
        <v>7725</v>
      </c>
      <c r="I412" s="18" t="s">
        <v>28</v>
      </c>
    </row>
    <row r="413" spans="1:9" x14ac:dyDescent="0.3">
      <c r="A413" s="18" t="s">
        <v>457</v>
      </c>
      <c r="B413" s="38">
        <v>46310</v>
      </c>
      <c r="C413" s="18" t="s">
        <v>25</v>
      </c>
      <c r="D413" s="18" t="s">
        <v>38</v>
      </c>
      <c r="E413" s="18" t="s">
        <v>27</v>
      </c>
      <c r="F413" s="18">
        <v>8</v>
      </c>
      <c r="G413" s="39">
        <v>17459</v>
      </c>
      <c r="H413" s="39">
        <v>139672</v>
      </c>
      <c r="I413" s="18" t="s">
        <v>33</v>
      </c>
    </row>
    <row r="414" spans="1:9" x14ac:dyDescent="0.3">
      <c r="A414" s="18" t="s">
        <v>458</v>
      </c>
      <c r="B414" s="38">
        <v>46309</v>
      </c>
      <c r="C414" s="18" t="s">
        <v>52</v>
      </c>
      <c r="D414" s="18" t="s">
        <v>36</v>
      </c>
      <c r="E414" s="18" t="s">
        <v>49</v>
      </c>
      <c r="F414" s="18">
        <v>3</v>
      </c>
      <c r="G414" s="39">
        <v>1372</v>
      </c>
      <c r="H414" s="39">
        <v>4116</v>
      </c>
      <c r="I414" s="18" t="s">
        <v>33</v>
      </c>
    </row>
    <row r="415" spans="1:9" x14ac:dyDescent="0.3">
      <c r="A415" s="18" t="s">
        <v>459</v>
      </c>
      <c r="B415" s="38">
        <v>46307</v>
      </c>
      <c r="C415" s="18" t="s">
        <v>54</v>
      </c>
      <c r="D415" s="18" t="s">
        <v>38</v>
      </c>
      <c r="E415" s="18" t="s">
        <v>49</v>
      </c>
      <c r="F415" s="18">
        <v>3</v>
      </c>
      <c r="G415" s="39">
        <v>462</v>
      </c>
      <c r="H415" s="39">
        <v>1386</v>
      </c>
      <c r="I415" s="18" t="s">
        <v>33</v>
      </c>
    </row>
    <row r="416" spans="1:9" x14ac:dyDescent="0.3">
      <c r="A416" s="18" t="s">
        <v>460</v>
      </c>
      <c r="B416" s="38">
        <v>46305</v>
      </c>
      <c r="C416" s="18" t="s">
        <v>52</v>
      </c>
      <c r="D416" s="18" t="s">
        <v>41</v>
      </c>
      <c r="E416" s="18" t="s">
        <v>46</v>
      </c>
      <c r="F416" s="18">
        <v>2</v>
      </c>
      <c r="G416" s="39">
        <v>1271</v>
      </c>
      <c r="H416" s="39">
        <v>2542</v>
      </c>
      <c r="I416" s="18" t="s">
        <v>33</v>
      </c>
    </row>
    <row r="417" spans="1:9" x14ac:dyDescent="0.3">
      <c r="A417" s="18" t="s">
        <v>461</v>
      </c>
      <c r="B417" s="38">
        <v>46298</v>
      </c>
      <c r="C417" s="18" t="s">
        <v>48</v>
      </c>
      <c r="D417" s="18" t="s">
        <v>31</v>
      </c>
      <c r="E417" s="18" t="s">
        <v>27</v>
      </c>
      <c r="F417" s="18">
        <v>8</v>
      </c>
      <c r="G417" s="39">
        <v>2804</v>
      </c>
      <c r="H417" s="39">
        <v>22432</v>
      </c>
      <c r="I417" s="18" t="s">
        <v>33</v>
      </c>
    </row>
    <row r="418" spans="1:9" x14ac:dyDescent="0.3">
      <c r="A418" s="18" t="s">
        <v>462</v>
      </c>
      <c r="B418" s="38">
        <v>46306</v>
      </c>
      <c r="C418" s="18" t="s">
        <v>30</v>
      </c>
      <c r="D418" s="18" t="s">
        <v>41</v>
      </c>
      <c r="E418" s="18" t="s">
        <v>27</v>
      </c>
      <c r="F418" s="18">
        <v>8</v>
      </c>
      <c r="G418" s="39">
        <v>4820</v>
      </c>
      <c r="H418" s="39">
        <v>38560</v>
      </c>
      <c r="I418" s="18" t="s">
        <v>33</v>
      </c>
    </row>
    <row r="419" spans="1:9" x14ac:dyDescent="0.3">
      <c r="A419" s="18" t="s">
        <v>463</v>
      </c>
      <c r="B419" s="38">
        <v>46298</v>
      </c>
      <c r="C419" s="18" t="s">
        <v>30</v>
      </c>
      <c r="D419" s="18" t="s">
        <v>38</v>
      </c>
      <c r="E419" s="18" t="s">
        <v>49</v>
      </c>
      <c r="F419" s="18">
        <v>6</v>
      </c>
      <c r="G419" s="39">
        <v>1475</v>
      </c>
      <c r="H419" s="39">
        <v>8850</v>
      </c>
      <c r="I419" s="18" t="s">
        <v>33</v>
      </c>
    </row>
    <row r="420" spans="1:9" x14ac:dyDescent="0.3">
      <c r="A420" s="18" t="s">
        <v>464</v>
      </c>
      <c r="B420" s="38">
        <v>46300</v>
      </c>
      <c r="C420" s="18" t="s">
        <v>48</v>
      </c>
      <c r="D420" s="18" t="s">
        <v>38</v>
      </c>
      <c r="E420" s="18" t="s">
        <v>42</v>
      </c>
      <c r="F420" s="18">
        <v>1</v>
      </c>
      <c r="G420" s="39">
        <v>5099</v>
      </c>
      <c r="H420" s="39">
        <v>5099</v>
      </c>
      <c r="I420" s="18" t="s">
        <v>28</v>
      </c>
    </row>
    <row r="421" spans="1:9" x14ac:dyDescent="0.3">
      <c r="A421" s="18" t="s">
        <v>465</v>
      </c>
      <c r="B421" s="38">
        <v>46310</v>
      </c>
      <c r="C421" s="18" t="s">
        <v>44</v>
      </c>
      <c r="D421" s="18" t="s">
        <v>36</v>
      </c>
      <c r="E421" s="18" t="s">
        <v>27</v>
      </c>
      <c r="F421" s="18">
        <v>7</v>
      </c>
      <c r="G421" s="39">
        <v>22687</v>
      </c>
      <c r="H421" s="39">
        <v>158809</v>
      </c>
      <c r="I421" s="18" t="s">
        <v>28</v>
      </c>
    </row>
    <row r="422" spans="1:9" x14ac:dyDescent="0.3">
      <c r="A422" s="18" t="s">
        <v>466</v>
      </c>
      <c r="B422" s="38">
        <v>46302</v>
      </c>
      <c r="C422" s="18" t="s">
        <v>30</v>
      </c>
      <c r="D422" s="18" t="s">
        <v>38</v>
      </c>
      <c r="E422" s="18" t="s">
        <v>27</v>
      </c>
      <c r="F422" s="18">
        <v>2</v>
      </c>
      <c r="G422" s="39">
        <v>21819</v>
      </c>
      <c r="H422" s="39">
        <v>43638</v>
      </c>
      <c r="I422" s="18" t="s">
        <v>28</v>
      </c>
    </row>
    <row r="423" spans="1:9" x14ac:dyDescent="0.3">
      <c r="A423" s="18" t="s">
        <v>467</v>
      </c>
      <c r="B423" s="38">
        <v>46307</v>
      </c>
      <c r="C423" s="18" t="s">
        <v>62</v>
      </c>
      <c r="D423" s="18" t="s">
        <v>26</v>
      </c>
      <c r="E423" s="18" t="s">
        <v>27</v>
      </c>
      <c r="F423" s="18">
        <v>4</v>
      </c>
      <c r="G423" s="39">
        <v>11575</v>
      </c>
      <c r="H423" s="39">
        <v>46300</v>
      </c>
      <c r="I423" s="18" t="s">
        <v>28</v>
      </c>
    </row>
    <row r="424" spans="1:9" x14ac:dyDescent="0.3">
      <c r="A424" s="18" t="s">
        <v>468</v>
      </c>
      <c r="B424" s="38">
        <v>46303</v>
      </c>
      <c r="C424" s="18" t="s">
        <v>54</v>
      </c>
      <c r="D424" s="18" t="s">
        <v>38</v>
      </c>
      <c r="E424" s="18" t="s">
        <v>49</v>
      </c>
      <c r="F424" s="18">
        <v>4</v>
      </c>
      <c r="G424" s="39">
        <v>2370</v>
      </c>
      <c r="H424" s="39">
        <v>9480</v>
      </c>
      <c r="I424" s="18" t="s">
        <v>33</v>
      </c>
    </row>
    <row r="425" spans="1:9" x14ac:dyDescent="0.3">
      <c r="A425" s="18" t="s">
        <v>469</v>
      </c>
      <c r="B425" s="38">
        <v>46302</v>
      </c>
      <c r="C425" s="18" t="s">
        <v>62</v>
      </c>
      <c r="D425" s="18" t="s">
        <v>26</v>
      </c>
      <c r="E425" s="18" t="s">
        <v>46</v>
      </c>
      <c r="F425" s="18">
        <v>4</v>
      </c>
      <c r="G425" s="39">
        <v>33632</v>
      </c>
      <c r="H425" s="39">
        <v>134528</v>
      </c>
      <c r="I425" s="18" t="s">
        <v>33</v>
      </c>
    </row>
    <row r="426" spans="1:9" x14ac:dyDescent="0.3">
      <c r="A426" s="18" t="s">
        <v>470</v>
      </c>
      <c r="B426" s="38">
        <v>46303</v>
      </c>
      <c r="C426" s="18" t="s">
        <v>56</v>
      </c>
      <c r="D426" s="18" t="s">
        <v>31</v>
      </c>
      <c r="E426" s="18" t="s">
        <v>46</v>
      </c>
      <c r="F426" s="18">
        <v>1</v>
      </c>
      <c r="G426" s="39">
        <v>24864</v>
      </c>
      <c r="H426" s="39">
        <v>24864</v>
      </c>
      <c r="I426" s="18" t="s">
        <v>39</v>
      </c>
    </row>
    <row r="427" spans="1:9" x14ac:dyDescent="0.3">
      <c r="A427" s="18" t="s">
        <v>471</v>
      </c>
      <c r="B427" s="38">
        <v>46300</v>
      </c>
      <c r="C427" s="18" t="s">
        <v>62</v>
      </c>
      <c r="D427" s="18" t="s">
        <v>31</v>
      </c>
      <c r="E427" s="18" t="s">
        <v>32</v>
      </c>
      <c r="F427" s="18">
        <v>6</v>
      </c>
      <c r="G427" s="39">
        <v>4675</v>
      </c>
      <c r="H427" s="39">
        <v>28050</v>
      </c>
      <c r="I427" s="18" t="s">
        <v>28</v>
      </c>
    </row>
    <row r="428" spans="1:9" x14ac:dyDescent="0.3">
      <c r="A428" s="18" t="s">
        <v>472</v>
      </c>
      <c r="B428" s="38">
        <v>46311</v>
      </c>
      <c r="C428" s="18" t="s">
        <v>30</v>
      </c>
      <c r="D428" s="18" t="s">
        <v>38</v>
      </c>
      <c r="E428" s="18" t="s">
        <v>42</v>
      </c>
      <c r="F428" s="18">
        <v>2</v>
      </c>
      <c r="G428" s="39">
        <v>212</v>
      </c>
      <c r="H428" s="39">
        <v>424</v>
      </c>
      <c r="I428" s="18" t="s">
        <v>33</v>
      </c>
    </row>
    <row r="429" spans="1:9" x14ac:dyDescent="0.3">
      <c r="A429" s="18" t="s">
        <v>473</v>
      </c>
      <c r="B429" s="38">
        <v>46297</v>
      </c>
      <c r="C429" s="18" t="s">
        <v>25</v>
      </c>
      <c r="D429" s="18" t="s">
        <v>41</v>
      </c>
      <c r="E429" s="18" t="s">
        <v>42</v>
      </c>
      <c r="F429" s="18">
        <v>5</v>
      </c>
      <c r="G429" s="39">
        <v>5249</v>
      </c>
      <c r="H429" s="39">
        <v>26245</v>
      </c>
      <c r="I429" s="18" t="s">
        <v>28</v>
      </c>
    </row>
    <row r="430" spans="1:9" x14ac:dyDescent="0.3">
      <c r="A430" s="18" t="s">
        <v>474</v>
      </c>
      <c r="B430" s="38">
        <v>46309</v>
      </c>
      <c r="C430" s="18" t="s">
        <v>62</v>
      </c>
      <c r="D430" s="18" t="s">
        <v>41</v>
      </c>
      <c r="E430" s="18" t="s">
        <v>46</v>
      </c>
      <c r="F430" s="18">
        <v>3</v>
      </c>
      <c r="G430" s="39">
        <v>19384</v>
      </c>
      <c r="H430" s="39">
        <v>58152</v>
      </c>
      <c r="I430" s="18" t="s">
        <v>33</v>
      </c>
    </row>
    <row r="431" spans="1:9" x14ac:dyDescent="0.3">
      <c r="A431" s="18" t="s">
        <v>475</v>
      </c>
      <c r="B431" s="38">
        <v>46298</v>
      </c>
      <c r="C431" s="18" t="s">
        <v>52</v>
      </c>
      <c r="D431" s="18" t="s">
        <v>36</v>
      </c>
      <c r="E431" s="18" t="s">
        <v>42</v>
      </c>
      <c r="F431" s="18">
        <v>6</v>
      </c>
      <c r="G431" s="39">
        <v>3300</v>
      </c>
      <c r="H431" s="39">
        <v>19800</v>
      </c>
      <c r="I431" s="18" t="s">
        <v>33</v>
      </c>
    </row>
    <row r="432" spans="1:9" x14ac:dyDescent="0.3">
      <c r="A432" s="18" t="s">
        <v>476</v>
      </c>
      <c r="B432" s="38">
        <v>46298</v>
      </c>
      <c r="C432" s="18" t="s">
        <v>54</v>
      </c>
      <c r="D432" s="18" t="s">
        <v>41</v>
      </c>
      <c r="E432" s="18" t="s">
        <v>27</v>
      </c>
      <c r="F432" s="18">
        <v>1</v>
      </c>
      <c r="G432" s="39">
        <v>10511</v>
      </c>
      <c r="H432" s="39">
        <v>10511</v>
      </c>
      <c r="I432" s="18" t="s">
        <v>33</v>
      </c>
    </row>
    <row r="433" spans="1:9" x14ac:dyDescent="0.3">
      <c r="A433" s="18" t="s">
        <v>477</v>
      </c>
      <c r="B433" s="38">
        <v>46309</v>
      </c>
      <c r="C433" s="18" t="s">
        <v>30</v>
      </c>
      <c r="D433" s="18" t="s">
        <v>41</v>
      </c>
      <c r="E433" s="18" t="s">
        <v>42</v>
      </c>
      <c r="F433" s="18">
        <v>1</v>
      </c>
      <c r="G433" s="39">
        <v>2633</v>
      </c>
      <c r="H433" s="39">
        <v>2633</v>
      </c>
      <c r="I433" s="18" t="s">
        <v>28</v>
      </c>
    </row>
    <row r="434" spans="1:9" x14ac:dyDescent="0.3">
      <c r="A434" s="18" t="s">
        <v>478</v>
      </c>
      <c r="B434" s="38">
        <v>46301</v>
      </c>
      <c r="C434" s="18" t="s">
        <v>30</v>
      </c>
      <c r="D434" s="18" t="s">
        <v>38</v>
      </c>
      <c r="E434" s="18" t="s">
        <v>27</v>
      </c>
      <c r="F434" s="18">
        <v>1</v>
      </c>
      <c r="G434" s="39">
        <v>7868</v>
      </c>
      <c r="H434" s="39">
        <v>7868</v>
      </c>
      <c r="I434" s="18" t="s">
        <v>33</v>
      </c>
    </row>
    <row r="435" spans="1:9" x14ac:dyDescent="0.3">
      <c r="A435" s="18" t="s">
        <v>479</v>
      </c>
      <c r="B435" s="38">
        <v>46307</v>
      </c>
      <c r="C435" s="18" t="s">
        <v>54</v>
      </c>
      <c r="D435" s="18" t="s">
        <v>36</v>
      </c>
      <c r="E435" s="18" t="s">
        <v>49</v>
      </c>
      <c r="F435" s="18">
        <v>3</v>
      </c>
      <c r="G435" s="39">
        <v>3321</v>
      </c>
      <c r="H435" s="39">
        <v>9963</v>
      </c>
      <c r="I435" s="18" t="s">
        <v>39</v>
      </c>
    </row>
    <row r="436" spans="1:9" x14ac:dyDescent="0.3">
      <c r="A436" s="18" t="s">
        <v>480</v>
      </c>
      <c r="B436" s="38">
        <v>46304</v>
      </c>
      <c r="C436" s="18" t="s">
        <v>30</v>
      </c>
      <c r="D436" s="18" t="s">
        <v>38</v>
      </c>
      <c r="E436" s="18" t="s">
        <v>49</v>
      </c>
      <c r="F436" s="18">
        <v>7</v>
      </c>
      <c r="G436" s="39">
        <v>1364</v>
      </c>
      <c r="H436" s="39">
        <v>9548</v>
      </c>
      <c r="I436" s="18" t="s">
        <v>33</v>
      </c>
    </row>
    <row r="437" spans="1:9" x14ac:dyDescent="0.3">
      <c r="A437" s="18" t="s">
        <v>481</v>
      </c>
      <c r="B437" s="38">
        <v>46304</v>
      </c>
      <c r="C437" s="18" t="s">
        <v>30</v>
      </c>
      <c r="D437" s="18" t="s">
        <v>41</v>
      </c>
      <c r="E437" s="18" t="s">
        <v>32</v>
      </c>
      <c r="F437" s="18">
        <v>6</v>
      </c>
      <c r="G437" s="39">
        <v>654</v>
      </c>
      <c r="H437" s="39">
        <v>3924</v>
      </c>
      <c r="I437" s="18" t="s">
        <v>33</v>
      </c>
    </row>
    <row r="438" spans="1:9" x14ac:dyDescent="0.3">
      <c r="A438" s="18" t="s">
        <v>482</v>
      </c>
      <c r="B438" s="38">
        <v>46301</v>
      </c>
      <c r="C438" s="18" t="s">
        <v>44</v>
      </c>
      <c r="D438" s="18" t="s">
        <v>36</v>
      </c>
      <c r="E438" s="18" t="s">
        <v>49</v>
      </c>
      <c r="F438" s="18">
        <v>2</v>
      </c>
      <c r="G438" s="39">
        <v>2600</v>
      </c>
      <c r="H438" s="39">
        <v>5200</v>
      </c>
      <c r="I438" s="18" t="s">
        <v>28</v>
      </c>
    </row>
    <row r="439" spans="1:9" x14ac:dyDescent="0.3">
      <c r="A439" s="18" t="s">
        <v>483</v>
      </c>
      <c r="B439" s="38">
        <v>46299</v>
      </c>
      <c r="C439" s="18" t="s">
        <v>52</v>
      </c>
      <c r="D439" s="18" t="s">
        <v>31</v>
      </c>
      <c r="E439" s="18" t="s">
        <v>46</v>
      </c>
      <c r="F439" s="18">
        <v>1</v>
      </c>
      <c r="G439" s="39">
        <v>2005</v>
      </c>
      <c r="H439" s="39">
        <v>2005</v>
      </c>
      <c r="I439" s="18" t="s">
        <v>33</v>
      </c>
    </row>
    <row r="440" spans="1:9" x14ac:dyDescent="0.3">
      <c r="A440" s="18" t="s">
        <v>484</v>
      </c>
      <c r="B440" s="38">
        <v>46311</v>
      </c>
      <c r="C440" s="18" t="s">
        <v>44</v>
      </c>
      <c r="D440" s="18" t="s">
        <v>41</v>
      </c>
      <c r="E440" s="18" t="s">
        <v>27</v>
      </c>
      <c r="F440" s="18">
        <v>3</v>
      </c>
      <c r="G440" s="39">
        <v>3658</v>
      </c>
      <c r="H440" s="39">
        <v>10974</v>
      </c>
      <c r="I440" s="18" t="s">
        <v>33</v>
      </c>
    </row>
    <row r="441" spans="1:9" x14ac:dyDescent="0.3">
      <c r="A441" s="18" t="s">
        <v>485</v>
      </c>
      <c r="B441" s="38">
        <v>46309</v>
      </c>
      <c r="C441" s="18" t="s">
        <v>52</v>
      </c>
      <c r="D441" s="18" t="s">
        <v>26</v>
      </c>
      <c r="E441" s="18" t="s">
        <v>27</v>
      </c>
      <c r="F441" s="18">
        <v>7</v>
      </c>
      <c r="G441" s="39">
        <v>26102</v>
      </c>
      <c r="H441" s="39">
        <v>182714</v>
      </c>
      <c r="I441" s="18" t="s">
        <v>33</v>
      </c>
    </row>
    <row r="442" spans="1:9" x14ac:dyDescent="0.3">
      <c r="A442" s="18" t="s">
        <v>486</v>
      </c>
      <c r="B442" s="38">
        <v>46298</v>
      </c>
      <c r="C442" s="18" t="s">
        <v>44</v>
      </c>
      <c r="D442" s="18" t="s">
        <v>38</v>
      </c>
      <c r="E442" s="18" t="s">
        <v>42</v>
      </c>
      <c r="F442" s="18">
        <v>1</v>
      </c>
      <c r="G442" s="39">
        <v>1569</v>
      </c>
      <c r="H442" s="39">
        <v>1569</v>
      </c>
      <c r="I442" s="18" t="s">
        <v>33</v>
      </c>
    </row>
    <row r="443" spans="1:9" x14ac:dyDescent="0.3">
      <c r="A443" s="18" t="s">
        <v>487</v>
      </c>
      <c r="B443" s="38">
        <v>46312</v>
      </c>
      <c r="C443" s="18" t="s">
        <v>25</v>
      </c>
      <c r="D443" s="18" t="s">
        <v>41</v>
      </c>
      <c r="E443" s="18" t="s">
        <v>46</v>
      </c>
      <c r="F443" s="18">
        <v>8</v>
      </c>
      <c r="G443" s="39">
        <v>19701</v>
      </c>
      <c r="H443" s="39">
        <v>157608</v>
      </c>
      <c r="I443" s="18" t="s">
        <v>39</v>
      </c>
    </row>
    <row r="444" spans="1:9" x14ac:dyDescent="0.3">
      <c r="A444" s="18" t="s">
        <v>488</v>
      </c>
      <c r="B444" s="38">
        <v>46305</v>
      </c>
      <c r="C444" s="18" t="s">
        <v>44</v>
      </c>
      <c r="D444" s="18" t="s">
        <v>38</v>
      </c>
      <c r="E444" s="18" t="s">
        <v>42</v>
      </c>
      <c r="F444" s="18">
        <v>8</v>
      </c>
      <c r="G444" s="39">
        <v>165</v>
      </c>
      <c r="H444" s="39">
        <v>1320</v>
      </c>
      <c r="I444" s="18" t="s">
        <v>33</v>
      </c>
    </row>
    <row r="445" spans="1:9" x14ac:dyDescent="0.3">
      <c r="A445" s="18" t="s">
        <v>489</v>
      </c>
      <c r="B445" s="38">
        <v>46305</v>
      </c>
      <c r="C445" s="18" t="s">
        <v>54</v>
      </c>
      <c r="D445" s="18" t="s">
        <v>31</v>
      </c>
      <c r="E445" s="18" t="s">
        <v>27</v>
      </c>
      <c r="F445" s="18">
        <v>8</v>
      </c>
      <c r="G445" s="39">
        <v>14567</v>
      </c>
      <c r="H445" s="39">
        <v>116536</v>
      </c>
      <c r="I445" s="18" t="s">
        <v>33</v>
      </c>
    </row>
    <row r="446" spans="1:9" x14ac:dyDescent="0.3">
      <c r="A446" s="18" t="s">
        <v>490</v>
      </c>
      <c r="B446" s="38">
        <v>46311</v>
      </c>
      <c r="C446" s="18" t="s">
        <v>52</v>
      </c>
      <c r="D446" s="18" t="s">
        <v>31</v>
      </c>
      <c r="E446" s="18" t="s">
        <v>27</v>
      </c>
      <c r="F446" s="18">
        <v>3</v>
      </c>
      <c r="G446" s="39">
        <v>2708</v>
      </c>
      <c r="H446" s="39">
        <v>8124</v>
      </c>
      <c r="I446" s="18" t="s">
        <v>39</v>
      </c>
    </row>
    <row r="447" spans="1:9" x14ac:dyDescent="0.3">
      <c r="A447" s="18" t="s">
        <v>491</v>
      </c>
      <c r="B447" s="38">
        <v>46296</v>
      </c>
      <c r="C447" s="18" t="s">
        <v>52</v>
      </c>
      <c r="D447" s="18" t="s">
        <v>31</v>
      </c>
      <c r="E447" s="18" t="s">
        <v>49</v>
      </c>
      <c r="F447" s="18">
        <v>1</v>
      </c>
      <c r="G447" s="39">
        <v>1622</v>
      </c>
      <c r="H447" s="39">
        <v>1622</v>
      </c>
      <c r="I447" s="18" t="s">
        <v>33</v>
      </c>
    </row>
    <row r="448" spans="1:9" x14ac:dyDescent="0.3">
      <c r="A448" s="18" t="s">
        <v>492</v>
      </c>
      <c r="B448" s="38">
        <v>46308</v>
      </c>
      <c r="C448" s="18" t="s">
        <v>54</v>
      </c>
      <c r="D448" s="18" t="s">
        <v>38</v>
      </c>
      <c r="E448" s="18" t="s">
        <v>27</v>
      </c>
      <c r="F448" s="18">
        <v>4</v>
      </c>
      <c r="G448" s="39">
        <v>16256</v>
      </c>
      <c r="H448" s="39">
        <v>65024</v>
      </c>
      <c r="I448" s="18" t="s">
        <v>33</v>
      </c>
    </row>
    <row r="449" spans="1:9" x14ac:dyDescent="0.3">
      <c r="A449" s="18" t="s">
        <v>493</v>
      </c>
      <c r="B449" s="38">
        <v>46297</v>
      </c>
      <c r="C449" s="18" t="s">
        <v>48</v>
      </c>
      <c r="D449" s="18" t="s">
        <v>26</v>
      </c>
      <c r="E449" s="18" t="s">
        <v>46</v>
      </c>
      <c r="F449" s="18">
        <v>1</v>
      </c>
      <c r="G449" s="39">
        <v>16369</v>
      </c>
      <c r="H449" s="39">
        <v>16369</v>
      </c>
      <c r="I449" s="18" t="s">
        <v>39</v>
      </c>
    </row>
    <row r="450" spans="1:9" x14ac:dyDescent="0.3">
      <c r="A450" s="18" t="s">
        <v>494</v>
      </c>
      <c r="B450" s="38">
        <v>46312</v>
      </c>
      <c r="C450" s="18" t="s">
        <v>62</v>
      </c>
      <c r="D450" s="18" t="s">
        <v>26</v>
      </c>
      <c r="E450" s="18" t="s">
        <v>32</v>
      </c>
      <c r="F450" s="18">
        <v>2</v>
      </c>
      <c r="G450" s="39">
        <v>4957</v>
      </c>
      <c r="H450" s="39">
        <v>9914</v>
      </c>
      <c r="I450" s="18" t="s">
        <v>33</v>
      </c>
    </row>
    <row r="451" spans="1:9" x14ac:dyDescent="0.3">
      <c r="A451" s="18" t="s">
        <v>495</v>
      </c>
      <c r="B451" s="38">
        <v>46300</v>
      </c>
      <c r="C451" s="18" t="s">
        <v>62</v>
      </c>
      <c r="D451" s="18" t="s">
        <v>38</v>
      </c>
      <c r="E451" s="18" t="s">
        <v>42</v>
      </c>
      <c r="F451" s="18">
        <v>1</v>
      </c>
      <c r="G451" s="39">
        <v>3663</v>
      </c>
      <c r="H451" s="39">
        <v>3663</v>
      </c>
      <c r="I451" s="18" t="s">
        <v>28</v>
      </c>
    </row>
    <row r="452" spans="1:9" x14ac:dyDescent="0.3">
      <c r="A452" s="18" t="s">
        <v>496</v>
      </c>
      <c r="B452" s="38">
        <v>46300</v>
      </c>
      <c r="C452" s="18" t="s">
        <v>52</v>
      </c>
      <c r="D452" s="18" t="s">
        <v>26</v>
      </c>
      <c r="E452" s="18" t="s">
        <v>49</v>
      </c>
      <c r="F452" s="18">
        <v>6</v>
      </c>
      <c r="G452" s="39">
        <v>1859</v>
      </c>
      <c r="H452" s="39">
        <v>11154</v>
      </c>
      <c r="I452" s="18" t="s">
        <v>28</v>
      </c>
    </row>
    <row r="453" spans="1:9" x14ac:dyDescent="0.3">
      <c r="A453" s="18" t="s">
        <v>497</v>
      </c>
      <c r="B453" s="38">
        <v>46306</v>
      </c>
      <c r="C453" s="18" t="s">
        <v>44</v>
      </c>
      <c r="D453" s="18" t="s">
        <v>41</v>
      </c>
      <c r="E453" s="18" t="s">
        <v>49</v>
      </c>
      <c r="F453" s="18">
        <v>4</v>
      </c>
      <c r="G453" s="39">
        <v>555</v>
      </c>
      <c r="H453" s="39">
        <v>2220</v>
      </c>
      <c r="I453" s="18" t="s">
        <v>39</v>
      </c>
    </row>
    <row r="454" spans="1:9" x14ac:dyDescent="0.3">
      <c r="A454" s="18" t="s">
        <v>498</v>
      </c>
      <c r="B454" s="38">
        <v>46300</v>
      </c>
      <c r="C454" s="18" t="s">
        <v>30</v>
      </c>
      <c r="D454" s="18" t="s">
        <v>36</v>
      </c>
      <c r="E454" s="18" t="s">
        <v>46</v>
      </c>
      <c r="F454" s="18">
        <v>3</v>
      </c>
      <c r="G454" s="39">
        <v>30662</v>
      </c>
      <c r="H454" s="39">
        <v>91986</v>
      </c>
      <c r="I454" s="18" t="s">
        <v>33</v>
      </c>
    </row>
    <row r="455" spans="1:9" x14ac:dyDescent="0.3">
      <c r="A455" s="18" t="s">
        <v>499</v>
      </c>
      <c r="B455" s="38">
        <v>46309</v>
      </c>
      <c r="C455" s="18" t="s">
        <v>30</v>
      </c>
      <c r="D455" s="18" t="s">
        <v>31</v>
      </c>
      <c r="E455" s="18" t="s">
        <v>49</v>
      </c>
      <c r="F455" s="18">
        <v>4</v>
      </c>
      <c r="G455" s="39">
        <v>2101</v>
      </c>
      <c r="H455" s="39">
        <v>8404</v>
      </c>
      <c r="I455" s="18" t="s">
        <v>33</v>
      </c>
    </row>
    <row r="456" spans="1:9" x14ac:dyDescent="0.3">
      <c r="A456" s="18" t="s">
        <v>500</v>
      </c>
      <c r="B456" s="38">
        <v>46304</v>
      </c>
      <c r="C456" s="18" t="s">
        <v>30</v>
      </c>
      <c r="D456" s="18" t="s">
        <v>38</v>
      </c>
      <c r="E456" s="18" t="s">
        <v>27</v>
      </c>
      <c r="F456" s="18">
        <v>5</v>
      </c>
      <c r="G456" s="39">
        <v>29579</v>
      </c>
      <c r="H456" s="39">
        <v>147895</v>
      </c>
      <c r="I456" s="18" t="s">
        <v>28</v>
      </c>
    </row>
    <row r="457" spans="1:9" x14ac:dyDescent="0.3">
      <c r="A457" s="18" t="s">
        <v>501</v>
      </c>
      <c r="B457" s="38">
        <v>46297</v>
      </c>
      <c r="C457" s="18" t="s">
        <v>52</v>
      </c>
      <c r="D457" s="18" t="s">
        <v>26</v>
      </c>
      <c r="E457" s="18" t="s">
        <v>27</v>
      </c>
      <c r="F457" s="18">
        <v>2</v>
      </c>
      <c r="G457" s="39">
        <v>25803</v>
      </c>
      <c r="H457" s="39">
        <v>51606</v>
      </c>
      <c r="I457" s="18" t="s">
        <v>33</v>
      </c>
    </row>
    <row r="458" spans="1:9" x14ac:dyDescent="0.3">
      <c r="A458" s="18" t="s">
        <v>502</v>
      </c>
      <c r="B458" s="38">
        <v>46307</v>
      </c>
      <c r="C458" s="18" t="s">
        <v>62</v>
      </c>
      <c r="D458" s="18" t="s">
        <v>31</v>
      </c>
      <c r="E458" s="18" t="s">
        <v>46</v>
      </c>
      <c r="F458" s="18">
        <v>5</v>
      </c>
      <c r="G458" s="39">
        <v>18250</v>
      </c>
      <c r="H458" s="39">
        <v>91250</v>
      </c>
      <c r="I458" s="18" t="s">
        <v>39</v>
      </c>
    </row>
    <row r="459" spans="1:9" x14ac:dyDescent="0.3">
      <c r="A459" s="18" t="s">
        <v>503</v>
      </c>
      <c r="B459" s="38">
        <v>46301</v>
      </c>
      <c r="C459" s="18" t="s">
        <v>25</v>
      </c>
      <c r="D459" s="18" t="s">
        <v>41</v>
      </c>
      <c r="E459" s="18" t="s">
        <v>32</v>
      </c>
      <c r="F459" s="18">
        <v>4</v>
      </c>
      <c r="G459" s="39">
        <v>975</v>
      </c>
      <c r="H459" s="39">
        <v>3900</v>
      </c>
      <c r="I459" s="18" t="s">
        <v>33</v>
      </c>
    </row>
    <row r="460" spans="1:9" x14ac:dyDescent="0.3">
      <c r="A460" s="18" t="s">
        <v>504</v>
      </c>
      <c r="B460" s="38">
        <v>46300</v>
      </c>
      <c r="C460" s="18" t="s">
        <v>30</v>
      </c>
      <c r="D460" s="18" t="s">
        <v>38</v>
      </c>
      <c r="E460" s="18" t="s">
        <v>46</v>
      </c>
      <c r="F460" s="18">
        <v>4</v>
      </c>
      <c r="G460" s="39">
        <v>9766</v>
      </c>
      <c r="H460" s="39">
        <v>39064</v>
      </c>
      <c r="I460" s="18" t="s">
        <v>33</v>
      </c>
    </row>
    <row r="461" spans="1:9" x14ac:dyDescent="0.3">
      <c r="A461" s="18" t="s">
        <v>505</v>
      </c>
      <c r="B461" s="38">
        <v>46308</v>
      </c>
      <c r="C461" s="18" t="s">
        <v>44</v>
      </c>
      <c r="D461" s="18" t="s">
        <v>38</v>
      </c>
      <c r="E461" s="18" t="s">
        <v>42</v>
      </c>
      <c r="F461" s="18">
        <v>5</v>
      </c>
      <c r="G461" s="39">
        <v>714</v>
      </c>
      <c r="H461" s="39">
        <v>3570</v>
      </c>
      <c r="I461" s="18" t="s">
        <v>33</v>
      </c>
    </row>
    <row r="462" spans="1:9" x14ac:dyDescent="0.3">
      <c r="A462" s="18" t="s">
        <v>506</v>
      </c>
      <c r="B462" s="38">
        <v>46298</v>
      </c>
      <c r="C462" s="18" t="s">
        <v>52</v>
      </c>
      <c r="D462" s="18" t="s">
        <v>41</v>
      </c>
      <c r="E462" s="18" t="s">
        <v>27</v>
      </c>
      <c r="F462" s="18">
        <v>2</v>
      </c>
      <c r="G462" s="39">
        <v>29676</v>
      </c>
      <c r="H462" s="39">
        <v>59352</v>
      </c>
      <c r="I462" s="18" t="s">
        <v>39</v>
      </c>
    </row>
    <row r="463" spans="1:9" x14ac:dyDescent="0.3">
      <c r="A463" s="18" t="s">
        <v>507</v>
      </c>
      <c r="B463" s="38">
        <v>46299</v>
      </c>
      <c r="C463" s="18" t="s">
        <v>25</v>
      </c>
      <c r="D463" s="18" t="s">
        <v>41</v>
      </c>
      <c r="E463" s="18" t="s">
        <v>46</v>
      </c>
      <c r="F463" s="18">
        <v>3</v>
      </c>
      <c r="G463" s="39">
        <v>38810</v>
      </c>
      <c r="H463" s="39">
        <v>116430</v>
      </c>
      <c r="I463" s="18" t="s">
        <v>33</v>
      </c>
    </row>
    <row r="464" spans="1:9" x14ac:dyDescent="0.3">
      <c r="A464" s="18" t="s">
        <v>508</v>
      </c>
      <c r="B464" s="38">
        <v>46308</v>
      </c>
      <c r="C464" s="18" t="s">
        <v>56</v>
      </c>
      <c r="D464" s="18" t="s">
        <v>38</v>
      </c>
      <c r="E464" s="18" t="s">
        <v>32</v>
      </c>
      <c r="F464" s="18">
        <v>7</v>
      </c>
      <c r="G464" s="39">
        <v>1615</v>
      </c>
      <c r="H464" s="39">
        <v>11305</v>
      </c>
      <c r="I464" s="18" t="s">
        <v>33</v>
      </c>
    </row>
    <row r="465" spans="1:9" x14ac:dyDescent="0.3">
      <c r="A465" s="18" t="s">
        <v>509</v>
      </c>
      <c r="B465" s="38">
        <v>46301</v>
      </c>
      <c r="C465" s="18" t="s">
        <v>54</v>
      </c>
      <c r="D465" s="18" t="s">
        <v>26</v>
      </c>
      <c r="E465" s="18" t="s">
        <v>32</v>
      </c>
      <c r="F465" s="18">
        <v>3</v>
      </c>
      <c r="G465" s="39">
        <v>483</v>
      </c>
      <c r="H465" s="39">
        <v>1449</v>
      </c>
      <c r="I465" s="18" t="s">
        <v>33</v>
      </c>
    </row>
    <row r="466" spans="1:9" x14ac:dyDescent="0.3">
      <c r="A466" s="18" t="s">
        <v>510</v>
      </c>
      <c r="B466" s="38">
        <v>46303</v>
      </c>
      <c r="C466" s="18" t="s">
        <v>54</v>
      </c>
      <c r="D466" s="18" t="s">
        <v>41</v>
      </c>
      <c r="E466" s="18" t="s">
        <v>32</v>
      </c>
      <c r="F466" s="18">
        <v>8</v>
      </c>
      <c r="G466" s="39">
        <v>699</v>
      </c>
      <c r="H466" s="39">
        <v>5592</v>
      </c>
      <c r="I466" s="18" t="s">
        <v>33</v>
      </c>
    </row>
    <row r="467" spans="1:9" x14ac:dyDescent="0.3">
      <c r="A467" s="18" t="s">
        <v>511</v>
      </c>
      <c r="B467" s="38">
        <v>46308</v>
      </c>
      <c r="C467" s="18" t="s">
        <v>48</v>
      </c>
      <c r="D467" s="18" t="s">
        <v>41</v>
      </c>
      <c r="E467" s="18" t="s">
        <v>27</v>
      </c>
      <c r="F467" s="18">
        <v>4</v>
      </c>
      <c r="G467" s="39">
        <v>23168</v>
      </c>
      <c r="H467" s="39">
        <v>92672</v>
      </c>
      <c r="I467" s="18" t="s">
        <v>79</v>
      </c>
    </row>
    <row r="468" spans="1:9" x14ac:dyDescent="0.3">
      <c r="A468" s="18" t="s">
        <v>512</v>
      </c>
      <c r="B468" s="38">
        <v>46313</v>
      </c>
      <c r="C468" s="18" t="s">
        <v>25</v>
      </c>
      <c r="D468" s="18" t="s">
        <v>41</v>
      </c>
      <c r="E468" s="18" t="s">
        <v>49</v>
      </c>
      <c r="F468" s="18">
        <v>8</v>
      </c>
      <c r="G468" s="39">
        <v>2480</v>
      </c>
      <c r="H468" s="39">
        <v>19840</v>
      </c>
      <c r="I468" s="18" t="s">
        <v>39</v>
      </c>
    </row>
    <row r="469" spans="1:9" x14ac:dyDescent="0.3">
      <c r="A469" s="18" t="s">
        <v>513</v>
      </c>
      <c r="B469" s="38">
        <v>46307</v>
      </c>
      <c r="C469" s="18" t="s">
        <v>44</v>
      </c>
      <c r="D469" s="18" t="s">
        <v>41</v>
      </c>
      <c r="E469" s="18" t="s">
        <v>49</v>
      </c>
      <c r="F469" s="18">
        <v>3</v>
      </c>
      <c r="G469" s="39">
        <v>356</v>
      </c>
      <c r="H469" s="39">
        <v>1068</v>
      </c>
      <c r="I469" s="18" t="s">
        <v>33</v>
      </c>
    </row>
    <row r="470" spans="1:9" x14ac:dyDescent="0.3">
      <c r="A470" s="18" t="s">
        <v>514</v>
      </c>
      <c r="B470" s="38">
        <v>46303</v>
      </c>
      <c r="C470" s="18" t="s">
        <v>25</v>
      </c>
      <c r="D470" s="18" t="s">
        <v>26</v>
      </c>
      <c r="E470" s="18" t="s">
        <v>46</v>
      </c>
      <c r="F470" s="18">
        <v>8</v>
      </c>
      <c r="G470" s="39">
        <v>35896</v>
      </c>
      <c r="H470" s="39">
        <v>287168</v>
      </c>
      <c r="I470" s="18" t="s">
        <v>33</v>
      </c>
    </row>
    <row r="471" spans="1:9" x14ac:dyDescent="0.3">
      <c r="A471" s="18" t="s">
        <v>515</v>
      </c>
      <c r="B471" s="38">
        <v>46303</v>
      </c>
      <c r="C471" s="18" t="s">
        <v>48</v>
      </c>
      <c r="D471" s="18" t="s">
        <v>38</v>
      </c>
      <c r="E471" s="18" t="s">
        <v>27</v>
      </c>
      <c r="F471" s="18">
        <v>4</v>
      </c>
      <c r="G471" s="39">
        <v>11233</v>
      </c>
      <c r="H471" s="39">
        <v>44932</v>
      </c>
      <c r="I471" s="18" t="s">
        <v>33</v>
      </c>
    </row>
    <row r="472" spans="1:9" x14ac:dyDescent="0.3">
      <c r="A472" s="18" t="s">
        <v>516</v>
      </c>
      <c r="B472" s="38">
        <v>46297</v>
      </c>
      <c r="C472" s="18" t="s">
        <v>52</v>
      </c>
      <c r="D472" s="18" t="s">
        <v>31</v>
      </c>
      <c r="E472" s="18" t="s">
        <v>32</v>
      </c>
      <c r="F472" s="18">
        <v>6</v>
      </c>
      <c r="G472" s="39">
        <v>7861</v>
      </c>
      <c r="H472" s="39">
        <v>47166</v>
      </c>
      <c r="I472" s="18" t="s">
        <v>39</v>
      </c>
    </row>
    <row r="473" spans="1:9" x14ac:dyDescent="0.3">
      <c r="A473" s="18" t="s">
        <v>517</v>
      </c>
      <c r="B473" s="38">
        <v>46301</v>
      </c>
      <c r="C473" s="18" t="s">
        <v>48</v>
      </c>
      <c r="D473" s="18" t="s">
        <v>36</v>
      </c>
      <c r="E473" s="18" t="s">
        <v>42</v>
      </c>
      <c r="F473" s="18">
        <v>6</v>
      </c>
      <c r="G473" s="39">
        <v>3039</v>
      </c>
      <c r="H473" s="39">
        <v>18234</v>
      </c>
      <c r="I473" s="18" t="s">
        <v>39</v>
      </c>
    </row>
    <row r="474" spans="1:9" x14ac:dyDescent="0.3">
      <c r="A474" s="18" t="s">
        <v>518</v>
      </c>
      <c r="B474" s="38">
        <v>46296</v>
      </c>
      <c r="C474" s="18" t="s">
        <v>44</v>
      </c>
      <c r="D474" s="18" t="s">
        <v>31</v>
      </c>
      <c r="E474" s="18" t="s">
        <v>42</v>
      </c>
      <c r="F474" s="18">
        <v>3</v>
      </c>
      <c r="G474" s="39">
        <v>4712</v>
      </c>
      <c r="H474" s="39">
        <v>14136</v>
      </c>
      <c r="I474" s="18" t="s">
        <v>39</v>
      </c>
    </row>
    <row r="475" spans="1:9" x14ac:dyDescent="0.3">
      <c r="A475" s="18" t="s">
        <v>519</v>
      </c>
      <c r="B475" s="38">
        <v>46311</v>
      </c>
      <c r="C475" s="18" t="s">
        <v>54</v>
      </c>
      <c r="D475" s="18" t="s">
        <v>36</v>
      </c>
      <c r="E475" s="18" t="s">
        <v>32</v>
      </c>
      <c r="F475" s="18">
        <v>1</v>
      </c>
      <c r="G475" s="39">
        <v>939</v>
      </c>
      <c r="H475" s="39">
        <v>939</v>
      </c>
      <c r="I475" s="18" t="s">
        <v>33</v>
      </c>
    </row>
    <row r="476" spans="1:9" x14ac:dyDescent="0.3">
      <c r="A476" s="18" t="s">
        <v>520</v>
      </c>
      <c r="B476" s="38">
        <v>46303</v>
      </c>
      <c r="C476" s="18" t="s">
        <v>25</v>
      </c>
      <c r="D476" s="18" t="s">
        <v>31</v>
      </c>
      <c r="E476" s="18" t="s">
        <v>32</v>
      </c>
      <c r="F476" s="18">
        <v>1</v>
      </c>
      <c r="G476" s="39">
        <v>2917</v>
      </c>
      <c r="H476" s="39">
        <v>2917</v>
      </c>
      <c r="I476" s="18" t="s">
        <v>39</v>
      </c>
    </row>
    <row r="477" spans="1:9" x14ac:dyDescent="0.3">
      <c r="A477" s="18" t="s">
        <v>521</v>
      </c>
      <c r="B477" s="38">
        <v>46302</v>
      </c>
      <c r="C477" s="18" t="s">
        <v>48</v>
      </c>
      <c r="D477" s="18" t="s">
        <v>26</v>
      </c>
      <c r="E477" s="18" t="s">
        <v>27</v>
      </c>
      <c r="F477" s="18">
        <v>6</v>
      </c>
      <c r="G477" s="39">
        <v>4451</v>
      </c>
      <c r="H477" s="39">
        <v>26706</v>
      </c>
      <c r="I477" s="18" t="s">
        <v>33</v>
      </c>
    </row>
    <row r="478" spans="1:9" x14ac:dyDescent="0.3">
      <c r="A478" s="18" t="s">
        <v>522</v>
      </c>
      <c r="B478" s="38">
        <v>46300</v>
      </c>
      <c r="C478" s="18" t="s">
        <v>30</v>
      </c>
      <c r="D478" s="18" t="s">
        <v>31</v>
      </c>
      <c r="E478" s="18" t="s">
        <v>49</v>
      </c>
      <c r="F478" s="18">
        <v>2</v>
      </c>
      <c r="G478" s="39">
        <v>1780</v>
      </c>
      <c r="H478" s="39">
        <v>3560</v>
      </c>
      <c r="I478" s="18" t="s">
        <v>28</v>
      </c>
    </row>
    <row r="479" spans="1:9" x14ac:dyDescent="0.3">
      <c r="A479" s="18" t="s">
        <v>523</v>
      </c>
      <c r="B479" s="38">
        <v>46308</v>
      </c>
      <c r="C479" s="18" t="s">
        <v>30</v>
      </c>
      <c r="D479" s="18" t="s">
        <v>26</v>
      </c>
      <c r="E479" s="18" t="s">
        <v>49</v>
      </c>
      <c r="F479" s="18">
        <v>6</v>
      </c>
      <c r="G479" s="39">
        <v>808</v>
      </c>
      <c r="H479" s="39">
        <v>4848</v>
      </c>
      <c r="I479" s="18" t="s">
        <v>79</v>
      </c>
    </row>
    <row r="480" spans="1:9" x14ac:dyDescent="0.3">
      <c r="A480" s="18" t="s">
        <v>524</v>
      </c>
      <c r="B480" s="38">
        <v>46309</v>
      </c>
      <c r="C480" s="18" t="s">
        <v>56</v>
      </c>
      <c r="D480" s="18" t="s">
        <v>26</v>
      </c>
      <c r="E480" s="18" t="s">
        <v>27</v>
      </c>
      <c r="F480" s="18">
        <v>6</v>
      </c>
      <c r="G480" s="39">
        <v>9815</v>
      </c>
      <c r="H480" s="39">
        <v>58890</v>
      </c>
      <c r="I480" s="18" t="s">
        <v>28</v>
      </c>
    </row>
    <row r="481" spans="1:9" x14ac:dyDescent="0.3">
      <c r="A481" s="18" t="s">
        <v>525</v>
      </c>
      <c r="B481" s="38">
        <v>46301</v>
      </c>
      <c r="C481" s="18" t="s">
        <v>62</v>
      </c>
      <c r="D481" s="18" t="s">
        <v>26</v>
      </c>
      <c r="E481" s="18" t="s">
        <v>49</v>
      </c>
      <c r="F481" s="18">
        <v>3</v>
      </c>
      <c r="G481" s="39">
        <v>977</v>
      </c>
      <c r="H481" s="39">
        <v>2931</v>
      </c>
      <c r="I481" s="18" t="s">
        <v>28</v>
      </c>
    </row>
    <row r="482" spans="1:9" x14ac:dyDescent="0.3">
      <c r="A482" s="18" t="s">
        <v>526</v>
      </c>
      <c r="B482" s="38">
        <v>46308</v>
      </c>
      <c r="C482" s="18" t="s">
        <v>25</v>
      </c>
      <c r="D482" s="18" t="s">
        <v>36</v>
      </c>
      <c r="E482" s="18" t="s">
        <v>42</v>
      </c>
      <c r="F482" s="18">
        <v>6</v>
      </c>
      <c r="G482" s="39">
        <v>5108</v>
      </c>
      <c r="H482" s="39">
        <v>30648</v>
      </c>
      <c r="I482" s="18" t="s">
        <v>33</v>
      </c>
    </row>
    <row r="483" spans="1:9" x14ac:dyDescent="0.3">
      <c r="A483" s="18" t="s">
        <v>527</v>
      </c>
      <c r="B483" s="38">
        <v>46299</v>
      </c>
      <c r="C483" s="18" t="s">
        <v>56</v>
      </c>
      <c r="D483" s="18" t="s">
        <v>36</v>
      </c>
      <c r="E483" s="18" t="s">
        <v>49</v>
      </c>
      <c r="F483" s="18">
        <v>2</v>
      </c>
      <c r="G483" s="39">
        <v>1224</v>
      </c>
      <c r="H483" s="39">
        <v>2448</v>
      </c>
      <c r="I483" s="18" t="s">
        <v>33</v>
      </c>
    </row>
    <row r="484" spans="1:9" x14ac:dyDescent="0.3">
      <c r="A484" s="18" t="s">
        <v>528</v>
      </c>
      <c r="B484" s="38">
        <v>46306</v>
      </c>
      <c r="C484" s="18" t="s">
        <v>48</v>
      </c>
      <c r="D484" s="18" t="s">
        <v>38</v>
      </c>
      <c r="E484" s="18" t="s">
        <v>49</v>
      </c>
      <c r="F484" s="18">
        <v>8</v>
      </c>
      <c r="G484" s="39">
        <v>296</v>
      </c>
      <c r="H484" s="39">
        <v>2368</v>
      </c>
      <c r="I484" s="18" t="s">
        <v>33</v>
      </c>
    </row>
    <row r="485" spans="1:9" x14ac:dyDescent="0.3">
      <c r="A485" s="18" t="s">
        <v>529</v>
      </c>
      <c r="B485" s="38">
        <v>46303</v>
      </c>
      <c r="C485" s="18" t="s">
        <v>30</v>
      </c>
      <c r="D485" s="18" t="s">
        <v>26</v>
      </c>
      <c r="E485" s="18" t="s">
        <v>49</v>
      </c>
      <c r="F485" s="18">
        <v>2</v>
      </c>
      <c r="G485" s="39">
        <v>3200</v>
      </c>
      <c r="H485" s="39">
        <v>6400</v>
      </c>
      <c r="I485" s="18" t="s">
        <v>33</v>
      </c>
    </row>
    <row r="486" spans="1:9" x14ac:dyDescent="0.3">
      <c r="A486" s="18" t="s">
        <v>530</v>
      </c>
      <c r="B486" s="38">
        <v>46308</v>
      </c>
      <c r="C486" s="18" t="s">
        <v>56</v>
      </c>
      <c r="D486" s="18" t="s">
        <v>41</v>
      </c>
      <c r="E486" s="18" t="s">
        <v>27</v>
      </c>
      <c r="F486" s="18">
        <v>7</v>
      </c>
      <c r="G486" s="39">
        <v>18657</v>
      </c>
      <c r="H486" s="39">
        <v>130599</v>
      </c>
      <c r="I486" s="18" t="s">
        <v>39</v>
      </c>
    </row>
    <row r="487" spans="1:9" x14ac:dyDescent="0.3">
      <c r="A487" s="18" t="s">
        <v>531</v>
      </c>
      <c r="B487" s="38">
        <v>46307</v>
      </c>
      <c r="C487" s="18" t="s">
        <v>62</v>
      </c>
      <c r="D487" s="18" t="s">
        <v>38</v>
      </c>
      <c r="E487" s="18" t="s">
        <v>32</v>
      </c>
      <c r="F487" s="18">
        <v>4</v>
      </c>
      <c r="G487" s="39">
        <v>1532</v>
      </c>
      <c r="H487" s="39">
        <v>6128</v>
      </c>
      <c r="I487" s="18" t="s">
        <v>33</v>
      </c>
    </row>
    <row r="488" spans="1:9" x14ac:dyDescent="0.3">
      <c r="A488" s="18" t="s">
        <v>532</v>
      </c>
      <c r="B488" s="38">
        <v>46297</v>
      </c>
      <c r="C488" s="18" t="s">
        <v>54</v>
      </c>
      <c r="D488" s="18" t="s">
        <v>38</v>
      </c>
      <c r="E488" s="18" t="s">
        <v>49</v>
      </c>
      <c r="F488" s="18">
        <v>5</v>
      </c>
      <c r="G488" s="39">
        <v>678</v>
      </c>
      <c r="H488" s="39">
        <v>3390</v>
      </c>
      <c r="I488" s="18" t="s">
        <v>33</v>
      </c>
    </row>
    <row r="489" spans="1:9" x14ac:dyDescent="0.3">
      <c r="A489" s="18" t="s">
        <v>533</v>
      </c>
      <c r="B489" s="38">
        <v>46301</v>
      </c>
      <c r="C489" s="18" t="s">
        <v>62</v>
      </c>
      <c r="D489" s="18" t="s">
        <v>36</v>
      </c>
      <c r="E489" s="18" t="s">
        <v>46</v>
      </c>
      <c r="F489" s="18">
        <v>2</v>
      </c>
      <c r="G489" s="39">
        <v>23347</v>
      </c>
      <c r="H489" s="39">
        <v>46694</v>
      </c>
      <c r="I489" s="18" t="s">
        <v>33</v>
      </c>
    </row>
    <row r="490" spans="1:9" x14ac:dyDescent="0.3">
      <c r="A490" s="18" t="s">
        <v>534</v>
      </c>
      <c r="B490" s="38">
        <v>46311</v>
      </c>
      <c r="C490" s="18" t="s">
        <v>25</v>
      </c>
      <c r="D490" s="18" t="s">
        <v>41</v>
      </c>
      <c r="E490" s="18" t="s">
        <v>27</v>
      </c>
      <c r="F490" s="18">
        <v>7</v>
      </c>
      <c r="G490" s="39">
        <v>7647</v>
      </c>
      <c r="H490" s="39">
        <v>53529</v>
      </c>
      <c r="I490" s="18" t="s">
        <v>33</v>
      </c>
    </row>
    <row r="491" spans="1:9" x14ac:dyDescent="0.3">
      <c r="A491" s="18" t="s">
        <v>535</v>
      </c>
      <c r="B491" s="38">
        <v>46306</v>
      </c>
      <c r="C491" s="18" t="s">
        <v>52</v>
      </c>
      <c r="D491" s="18" t="s">
        <v>36</v>
      </c>
      <c r="E491" s="18" t="s">
        <v>32</v>
      </c>
      <c r="F491" s="18">
        <v>5</v>
      </c>
      <c r="G491" s="39">
        <v>5611</v>
      </c>
      <c r="H491" s="39">
        <v>28055</v>
      </c>
      <c r="I491" s="18" t="s">
        <v>33</v>
      </c>
    </row>
    <row r="492" spans="1:9" x14ac:dyDescent="0.3">
      <c r="A492" s="18" t="s">
        <v>536</v>
      </c>
      <c r="B492" s="38">
        <v>46303</v>
      </c>
      <c r="C492" s="18" t="s">
        <v>30</v>
      </c>
      <c r="D492" s="18" t="s">
        <v>38</v>
      </c>
      <c r="E492" s="18" t="s">
        <v>32</v>
      </c>
      <c r="F492" s="18">
        <v>8</v>
      </c>
      <c r="G492" s="39">
        <v>1458</v>
      </c>
      <c r="H492" s="39">
        <v>11664</v>
      </c>
      <c r="I492" s="18" t="s">
        <v>33</v>
      </c>
    </row>
    <row r="493" spans="1:9" x14ac:dyDescent="0.3">
      <c r="A493" s="18" t="s">
        <v>537</v>
      </c>
      <c r="B493" s="38">
        <v>46296</v>
      </c>
      <c r="C493" s="18" t="s">
        <v>62</v>
      </c>
      <c r="D493" s="18" t="s">
        <v>38</v>
      </c>
      <c r="E493" s="18" t="s">
        <v>49</v>
      </c>
      <c r="F493" s="18">
        <v>8</v>
      </c>
      <c r="G493" s="39">
        <v>1067</v>
      </c>
      <c r="H493" s="39">
        <v>8536</v>
      </c>
      <c r="I493" s="18" t="s">
        <v>33</v>
      </c>
    </row>
    <row r="494" spans="1:9" x14ac:dyDescent="0.3">
      <c r="A494" s="18" t="s">
        <v>538</v>
      </c>
      <c r="B494" s="38">
        <v>46302</v>
      </c>
      <c r="C494" s="18" t="s">
        <v>48</v>
      </c>
      <c r="D494" s="18" t="s">
        <v>26</v>
      </c>
      <c r="E494" s="18" t="s">
        <v>46</v>
      </c>
      <c r="F494" s="18">
        <v>8</v>
      </c>
      <c r="G494" s="39">
        <v>8769</v>
      </c>
      <c r="H494" s="39">
        <v>70152</v>
      </c>
      <c r="I494" s="18" t="s">
        <v>33</v>
      </c>
    </row>
    <row r="495" spans="1:9" x14ac:dyDescent="0.3">
      <c r="A495" s="18" t="s">
        <v>539</v>
      </c>
      <c r="B495" s="38">
        <v>46308</v>
      </c>
      <c r="C495" s="18" t="s">
        <v>56</v>
      </c>
      <c r="D495" s="18" t="s">
        <v>41</v>
      </c>
      <c r="E495" s="18" t="s">
        <v>49</v>
      </c>
      <c r="F495" s="18">
        <v>2</v>
      </c>
      <c r="G495" s="39">
        <v>2879</v>
      </c>
      <c r="H495" s="39">
        <v>5758</v>
      </c>
      <c r="I495" s="18" t="s">
        <v>33</v>
      </c>
    </row>
    <row r="496" spans="1:9" x14ac:dyDescent="0.3">
      <c r="A496" s="18" t="s">
        <v>540</v>
      </c>
      <c r="B496" s="38">
        <v>46301</v>
      </c>
      <c r="C496" s="18" t="s">
        <v>44</v>
      </c>
      <c r="D496" s="18" t="s">
        <v>41</v>
      </c>
      <c r="E496" s="18" t="s">
        <v>49</v>
      </c>
      <c r="F496" s="18">
        <v>3</v>
      </c>
      <c r="G496" s="39">
        <v>2075</v>
      </c>
      <c r="H496" s="39">
        <v>6225</v>
      </c>
      <c r="I496" s="18" t="s">
        <v>33</v>
      </c>
    </row>
    <row r="497" spans="1:9" x14ac:dyDescent="0.3">
      <c r="A497" s="18" t="s">
        <v>541</v>
      </c>
      <c r="B497" s="38">
        <v>46310</v>
      </c>
      <c r="C497" s="18" t="s">
        <v>56</v>
      </c>
      <c r="D497" s="18" t="s">
        <v>26</v>
      </c>
      <c r="E497" s="18" t="s">
        <v>27</v>
      </c>
      <c r="F497" s="18">
        <v>5</v>
      </c>
      <c r="G497" s="39">
        <v>20989</v>
      </c>
      <c r="H497" s="39">
        <v>104945</v>
      </c>
      <c r="I497" s="18" t="s">
        <v>33</v>
      </c>
    </row>
    <row r="498" spans="1:9" x14ac:dyDescent="0.3">
      <c r="A498" s="18" t="s">
        <v>542</v>
      </c>
      <c r="B498" s="38">
        <v>46299</v>
      </c>
      <c r="C498" s="18" t="s">
        <v>30</v>
      </c>
      <c r="D498" s="18" t="s">
        <v>26</v>
      </c>
      <c r="E498" s="18" t="s">
        <v>42</v>
      </c>
      <c r="F498" s="18">
        <v>7</v>
      </c>
      <c r="G498" s="39">
        <v>4931</v>
      </c>
      <c r="H498" s="39">
        <v>34517</v>
      </c>
      <c r="I498" s="18" t="s">
        <v>33</v>
      </c>
    </row>
    <row r="499" spans="1:9" x14ac:dyDescent="0.3">
      <c r="A499" s="18" t="s">
        <v>543</v>
      </c>
      <c r="B499" s="38">
        <v>46297</v>
      </c>
      <c r="C499" s="18" t="s">
        <v>62</v>
      </c>
      <c r="D499" s="18" t="s">
        <v>31</v>
      </c>
      <c r="E499" s="18" t="s">
        <v>32</v>
      </c>
      <c r="F499" s="18">
        <v>8</v>
      </c>
      <c r="G499" s="39">
        <v>4891</v>
      </c>
      <c r="H499" s="39">
        <v>39128</v>
      </c>
      <c r="I499" s="18" t="s">
        <v>39</v>
      </c>
    </row>
    <row r="500" spans="1:9" x14ac:dyDescent="0.3">
      <c r="A500" s="18" t="s">
        <v>544</v>
      </c>
      <c r="B500" s="38">
        <v>46311</v>
      </c>
      <c r="C500" s="18" t="s">
        <v>54</v>
      </c>
      <c r="D500" s="18" t="s">
        <v>38</v>
      </c>
      <c r="E500" s="18" t="s">
        <v>32</v>
      </c>
      <c r="F500" s="18">
        <v>1</v>
      </c>
      <c r="G500" s="39">
        <v>4313</v>
      </c>
      <c r="H500" s="39">
        <v>4313</v>
      </c>
      <c r="I500" s="18" t="s">
        <v>33</v>
      </c>
    </row>
    <row r="501" spans="1:9" x14ac:dyDescent="0.3">
      <c r="A501" s="18" t="s">
        <v>545</v>
      </c>
      <c r="B501" s="38">
        <v>46312</v>
      </c>
      <c r="C501" s="18" t="s">
        <v>48</v>
      </c>
      <c r="D501" s="18" t="s">
        <v>38</v>
      </c>
      <c r="E501" s="18" t="s">
        <v>32</v>
      </c>
      <c r="F501" s="18">
        <v>3</v>
      </c>
      <c r="G501" s="39">
        <v>7974</v>
      </c>
      <c r="H501" s="39">
        <v>23922</v>
      </c>
      <c r="I501" s="18" t="s">
        <v>79</v>
      </c>
    </row>
    <row r="502" spans="1:9" x14ac:dyDescent="0.3">
      <c r="A502" s="18" t="s">
        <v>546</v>
      </c>
      <c r="B502" s="38">
        <v>46302</v>
      </c>
      <c r="C502" s="18" t="s">
        <v>52</v>
      </c>
      <c r="D502" s="18" t="s">
        <v>36</v>
      </c>
      <c r="E502" s="18" t="s">
        <v>46</v>
      </c>
      <c r="F502" s="18">
        <v>7</v>
      </c>
      <c r="G502" s="39">
        <v>6335</v>
      </c>
      <c r="H502" s="39">
        <v>44345</v>
      </c>
      <c r="I502" s="18" t="s">
        <v>79</v>
      </c>
    </row>
    <row r="503" spans="1:9" x14ac:dyDescent="0.3">
      <c r="A503" s="18" t="s">
        <v>547</v>
      </c>
      <c r="B503" s="38">
        <v>46309</v>
      </c>
      <c r="C503" s="18" t="s">
        <v>52</v>
      </c>
      <c r="D503" s="18" t="s">
        <v>36</v>
      </c>
      <c r="E503" s="18" t="s">
        <v>42</v>
      </c>
      <c r="F503" s="18">
        <v>5</v>
      </c>
      <c r="G503" s="39">
        <v>2719</v>
      </c>
      <c r="H503" s="39">
        <v>13595</v>
      </c>
      <c r="I503" s="18" t="s">
        <v>39</v>
      </c>
    </row>
    <row r="504" spans="1:9" x14ac:dyDescent="0.3">
      <c r="A504" s="18" t="s">
        <v>548</v>
      </c>
      <c r="B504" s="38">
        <v>46298</v>
      </c>
      <c r="C504" s="18" t="s">
        <v>30</v>
      </c>
      <c r="D504" s="18" t="s">
        <v>41</v>
      </c>
      <c r="E504" s="18" t="s">
        <v>42</v>
      </c>
      <c r="F504" s="18">
        <v>7</v>
      </c>
      <c r="G504" s="39">
        <v>4622</v>
      </c>
      <c r="H504" s="39">
        <v>32354</v>
      </c>
      <c r="I504" s="18" t="s">
        <v>33</v>
      </c>
    </row>
    <row r="505" spans="1:9" x14ac:dyDescent="0.3">
      <c r="A505" s="18" t="s">
        <v>549</v>
      </c>
      <c r="B505" s="38">
        <v>46304</v>
      </c>
      <c r="C505" s="18" t="s">
        <v>56</v>
      </c>
      <c r="D505" s="18" t="s">
        <v>38</v>
      </c>
      <c r="E505" s="18" t="s">
        <v>42</v>
      </c>
      <c r="F505" s="18">
        <v>7</v>
      </c>
      <c r="G505" s="39">
        <v>1021</v>
      </c>
      <c r="H505" s="39">
        <v>7147</v>
      </c>
      <c r="I505" s="18" t="s">
        <v>33</v>
      </c>
    </row>
    <row r="506" spans="1:9" x14ac:dyDescent="0.3">
      <c r="A506" s="18" t="s">
        <v>550</v>
      </c>
      <c r="B506" s="38">
        <v>46300</v>
      </c>
      <c r="C506" s="18" t="s">
        <v>30</v>
      </c>
      <c r="D506" s="18" t="s">
        <v>38</v>
      </c>
      <c r="E506" s="18" t="s">
        <v>42</v>
      </c>
      <c r="F506" s="18">
        <v>2</v>
      </c>
      <c r="G506" s="39">
        <v>2443</v>
      </c>
      <c r="H506" s="39">
        <v>4886</v>
      </c>
      <c r="I506" s="18" t="s">
        <v>39</v>
      </c>
    </row>
    <row r="507" spans="1:9" x14ac:dyDescent="0.3">
      <c r="A507" s="18" t="s">
        <v>551</v>
      </c>
      <c r="B507" s="38">
        <v>46307</v>
      </c>
      <c r="C507" s="18" t="s">
        <v>62</v>
      </c>
      <c r="D507" s="18" t="s">
        <v>26</v>
      </c>
      <c r="E507" s="18" t="s">
        <v>32</v>
      </c>
      <c r="F507" s="18">
        <v>8</v>
      </c>
      <c r="G507" s="39">
        <v>4886</v>
      </c>
      <c r="H507" s="39">
        <v>39088</v>
      </c>
      <c r="I507" s="18" t="s">
        <v>33</v>
      </c>
    </row>
    <row r="508" spans="1:9" x14ac:dyDescent="0.3">
      <c r="A508" s="18" t="s">
        <v>552</v>
      </c>
      <c r="B508" s="38">
        <v>46297</v>
      </c>
      <c r="C508" s="18" t="s">
        <v>48</v>
      </c>
      <c r="D508" s="18" t="s">
        <v>26</v>
      </c>
      <c r="E508" s="18" t="s">
        <v>32</v>
      </c>
      <c r="F508" s="18">
        <v>3</v>
      </c>
      <c r="G508" s="39">
        <v>5264</v>
      </c>
      <c r="H508" s="39">
        <v>15792</v>
      </c>
      <c r="I508" s="18" t="s">
        <v>33</v>
      </c>
    </row>
    <row r="509" spans="1:9" x14ac:dyDescent="0.3">
      <c r="A509" s="18" t="s">
        <v>553</v>
      </c>
      <c r="B509" s="38">
        <v>46308</v>
      </c>
      <c r="C509" s="18" t="s">
        <v>25</v>
      </c>
      <c r="D509" s="18" t="s">
        <v>41</v>
      </c>
      <c r="E509" s="18" t="s">
        <v>49</v>
      </c>
      <c r="F509" s="18">
        <v>4</v>
      </c>
      <c r="G509" s="39">
        <v>451</v>
      </c>
      <c r="H509" s="39">
        <v>1804</v>
      </c>
      <c r="I509" s="18" t="s">
        <v>28</v>
      </c>
    </row>
    <row r="510" spans="1:9" x14ac:dyDescent="0.3">
      <c r="A510" s="18" t="s">
        <v>554</v>
      </c>
      <c r="B510" s="38">
        <v>46304</v>
      </c>
      <c r="C510" s="18" t="s">
        <v>44</v>
      </c>
      <c r="D510" s="18" t="s">
        <v>38</v>
      </c>
      <c r="E510" s="18" t="s">
        <v>49</v>
      </c>
      <c r="F510" s="18">
        <v>5</v>
      </c>
      <c r="G510" s="39">
        <v>1523</v>
      </c>
      <c r="H510" s="39">
        <v>7615</v>
      </c>
      <c r="I510" s="18" t="s">
        <v>33</v>
      </c>
    </row>
    <row r="511" spans="1:9" x14ac:dyDescent="0.3">
      <c r="A511" s="18" t="s">
        <v>555</v>
      </c>
      <c r="B511" s="38">
        <v>46311</v>
      </c>
      <c r="C511" s="18" t="s">
        <v>30</v>
      </c>
      <c r="D511" s="18" t="s">
        <v>36</v>
      </c>
      <c r="E511" s="18" t="s">
        <v>27</v>
      </c>
      <c r="F511" s="18">
        <v>5</v>
      </c>
      <c r="G511" s="39">
        <v>26870</v>
      </c>
      <c r="H511" s="39">
        <v>134350</v>
      </c>
      <c r="I511" s="18" t="s">
        <v>33</v>
      </c>
    </row>
    <row r="512" spans="1:9" x14ac:dyDescent="0.3">
      <c r="A512" s="18" t="s">
        <v>556</v>
      </c>
      <c r="B512" s="38">
        <v>46306</v>
      </c>
      <c r="C512" s="18" t="s">
        <v>54</v>
      </c>
      <c r="D512" s="18" t="s">
        <v>41</v>
      </c>
      <c r="E512" s="18" t="s">
        <v>42</v>
      </c>
      <c r="F512" s="18">
        <v>2</v>
      </c>
      <c r="G512" s="39">
        <v>1639</v>
      </c>
      <c r="H512" s="39">
        <v>3278</v>
      </c>
      <c r="I512" s="18" t="s">
        <v>33</v>
      </c>
    </row>
    <row r="513" spans="1:9" x14ac:dyDescent="0.3">
      <c r="A513" s="18" t="s">
        <v>557</v>
      </c>
      <c r="B513" s="38">
        <v>46309</v>
      </c>
      <c r="C513" s="18" t="s">
        <v>56</v>
      </c>
      <c r="D513" s="18" t="s">
        <v>31</v>
      </c>
      <c r="E513" s="18" t="s">
        <v>49</v>
      </c>
      <c r="F513" s="18">
        <v>1</v>
      </c>
      <c r="G513" s="39">
        <v>2360</v>
      </c>
      <c r="H513" s="39">
        <v>2360</v>
      </c>
      <c r="I513" s="18" t="s">
        <v>39</v>
      </c>
    </row>
    <row r="514" spans="1:9" x14ac:dyDescent="0.3">
      <c r="A514" s="18" t="s">
        <v>558</v>
      </c>
      <c r="B514" s="38">
        <v>46298</v>
      </c>
      <c r="C514" s="18" t="s">
        <v>54</v>
      </c>
      <c r="D514" s="18" t="s">
        <v>31</v>
      </c>
      <c r="E514" s="18" t="s">
        <v>32</v>
      </c>
      <c r="F514" s="18">
        <v>3</v>
      </c>
      <c r="G514" s="39">
        <v>6593</v>
      </c>
      <c r="H514" s="39">
        <v>19779</v>
      </c>
      <c r="I514" s="18" t="s">
        <v>39</v>
      </c>
    </row>
    <row r="515" spans="1:9" x14ac:dyDescent="0.3">
      <c r="A515" s="18" t="s">
        <v>559</v>
      </c>
      <c r="B515" s="38">
        <v>46296</v>
      </c>
      <c r="C515" s="18" t="s">
        <v>48</v>
      </c>
      <c r="D515" s="18" t="s">
        <v>36</v>
      </c>
      <c r="E515" s="18" t="s">
        <v>27</v>
      </c>
      <c r="F515" s="18">
        <v>1</v>
      </c>
      <c r="G515" s="39">
        <v>10675</v>
      </c>
      <c r="H515" s="39">
        <v>10675</v>
      </c>
      <c r="I515" s="18" t="s">
        <v>33</v>
      </c>
    </row>
    <row r="516" spans="1:9" x14ac:dyDescent="0.3">
      <c r="A516" s="18" t="s">
        <v>560</v>
      </c>
      <c r="B516" s="38">
        <v>46297</v>
      </c>
      <c r="C516" s="18" t="s">
        <v>44</v>
      </c>
      <c r="D516" s="18" t="s">
        <v>36</v>
      </c>
      <c r="E516" s="18" t="s">
        <v>49</v>
      </c>
      <c r="F516" s="18">
        <v>6</v>
      </c>
      <c r="G516" s="39">
        <v>2151</v>
      </c>
      <c r="H516" s="39">
        <v>12906</v>
      </c>
      <c r="I516" s="18" t="s">
        <v>33</v>
      </c>
    </row>
    <row r="517" spans="1:9" x14ac:dyDescent="0.3">
      <c r="A517" s="18" t="s">
        <v>561</v>
      </c>
      <c r="B517" s="38">
        <v>46299</v>
      </c>
      <c r="C517" s="18" t="s">
        <v>25</v>
      </c>
      <c r="D517" s="18" t="s">
        <v>36</v>
      </c>
      <c r="E517" s="18" t="s">
        <v>49</v>
      </c>
      <c r="F517" s="18">
        <v>8</v>
      </c>
      <c r="G517" s="39">
        <v>2683</v>
      </c>
      <c r="H517" s="39">
        <v>21464</v>
      </c>
      <c r="I517" s="18" t="s">
        <v>33</v>
      </c>
    </row>
    <row r="518" spans="1:9" x14ac:dyDescent="0.3">
      <c r="A518" s="18" t="s">
        <v>562</v>
      </c>
      <c r="B518" s="38">
        <v>46311</v>
      </c>
      <c r="C518" s="18" t="s">
        <v>44</v>
      </c>
      <c r="D518" s="18" t="s">
        <v>26</v>
      </c>
      <c r="E518" s="18" t="s">
        <v>27</v>
      </c>
      <c r="F518" s="18">
        <v>5</v>
      </c>
      <c r="G518" s="39">
        <v>27041</v>
      </c>
      <c r="H518" s="39">
        <v>135205</v>
      </c>
      <c r="I518" s="18" t="s">
        <v>39</v>
      </c>
    </row>
    <row r="519" spans="1:9" x14ac:dyDescent="0.3">
      <c r="A519" s="18" t="s">
        <v>563</v>
      </c>
      <c r="B519" s="38">
        <v>46298</v>
      </c>
      <c r="C519" s="18" t="s">
        <v>54</v>
      </c>
      <c r="D519" s="18" t="s">
        <v>38</v>
      </c>
      <c r="E519" s="18" t="s">
        <v>32</v>
      </c>
      <c r="F519" s="18">
        <v>1</v>
      </c>
      <c r="G519" s="39">
        <v>1534</v>
      </c>
      <c r="H519" s="39">
        <v>1534</v>
      </c>
      <c r="I519" s="18" t="s">
        <v>39</v>
      </c>
    </row>
    <row r="520" spans="1:9" x14ac:dyDescent="0.3">
      <c r="A520" s="18" t="s">
        <v>564</v>
      </c>
      <c r="B520" s="38">
        <v>46302</v>
      </c>
      <c r="C520" s="18" t="s">
        <v>52</v>
      </c>
      <c r="D520" s="18" t="s">
        <v>36</v>
      </c>
      <c r="E520" s="18" t="s">
        <v>27</v>
      </c>
      <c r="F520" s="18">
        <v>5</v>
      </c>
      <c r="G520" s="39">
        <v>23851</v>
      </c>
      <c r="H520" s="39">
        <v>119255</v>
      </c>
      <c r="I520" s="18" t="s">
        <v>33</v>
      </c>
    </row>
    <row r="521" spans="1:9" x14ac:dyDescent="0.3">
      <c r="A521" s="18" t="s">
        <v>565</v>
      </c>
      <c r="B521" s="38">
        <v>46296</v>
      </c>
      <c r="C521" s="18" t="s">
        <v>25</v>
      </c>
      <c r="D521" s="18" t="s">
        <v>41</v>
      </c>
      <c r="E521" s="18" t="s">
        <v>27</v>
      </c>
      <c r="F521" s="18">
        <v>3</v>
      </c>
      <c r="G521" s="39">
        <v>22198</v>
      </c>
      <c r="H521" s="39">
        <v>66594</v>
      </c>
      <c r="I521" s="18" t="s">
        <v>39</v>
      </c>
    </row>
    <row r="522" spans="1:9" x14ac:dyDescent="0.3">
      <c r="A522" s="18" t="s">
        <v>566</v>
      </c>
      <c r="B522" s="38">
        <v>46303</v>
      </c>
      <c r="C522" s="18" t="s">
        <v>54</v>
      </c>
      <c r="D522" s="18" t="s">
        <v>31</v>
      </c>
      <c r="E522" s="18" t="s">
        <v>49</v>
      </c>
      <c r="F522" s="18">
        <v>5</v>
      </c>
      <c r="G522" s="39">
        <v>1985</v>
      </c>
      <c r="H522" s="39">
        <v>9925</v>
      </c>
      <c r="I522" s="18" t="s">
        <v>39</v>
      </c>
    </row>
    <row r="523" spans="1:9" x14ac:dyDescent="0.3">
      <c r="A523" s="18" t="s">
        <v>567</v>
      </c>
      <c r="B523" s="38">
        <v>46307</v>
      </c>
      <c r="C523" s="18" t="s">
        <v>56</v>
      </c>
      <c r="D523" s="18" t="s">
        <v>26</v>
      </c>
      <c r="E523" s="18" t="s">
        <v>27</v>
      </c>
      <c r="F523" s="18">
        <v>8</v>
      </c>
      <c r="G523" s="39">
        <v>12400</v>
      </c>
      <c r="H523" s="39">
        <v>99200</v>
      </c>
      <c r="I523" s="18" t="s">
        <v>28</v>
      </c>
    </row>
    <row r="524" spans="1:9" x14ac:dyDescent="0.3">
      <c r="A524" s="18" t="s">
        <v>568</v>
      </c>
      <c r="B524" s="38">
        <v>46308</v>
      </c>
      <c r="C524" s="18" t="s">
        <v>30</v>
      </c>
      <c r="D524" s="18" t="s">
        <v>38</v>
      </c>
      <c r="E524" s="18" t="s">
        <v>42</v>
      </c>
      <c r="F524" s="18">
        <v>6</v>
      </c>
      <c r="G524" s="39">
        <v>4699</v>
      </c>
      <c r="H524" s="39">
        <v>28194</v>
      </c>
      <c r="I524" s="18" t="s">
        <v>28</v>
      </c>
    </row>
    <row r="525" spans="1:9" x14ac:dyDescent="0.3">
      <c r="A525" s="18" t="s">
        <v>569</v>
      </c>
      <c r="B525" s="38">
        <v>46305</v>
      </c>
      <c r="C525" s="18" t="s">
        <v>54</v>
      </c>
      <c r="D525" s="18" t="s">
        <v>38</v>
      </c>
      <c r="E525" s="18" t="s">
        <v>32</v>
      </c>
      <c r="F525" s="18">
        <v>2</v>
      </c>
      <c r="G525" s="39">
        <v>2954</v>
      </c>
      <c r="H525" s="39">
        <v>5908</v>
      </c>
      <c r="I525" s="18" t="s">
        <v>79</v>
      </c>
    </row>
    <row r="526" spans="1:9" x14ac:dyDescent="0.3">
      <c r="A526" s="18" t="s">
        <v>570</v>
      </c>
      <c r="B526" s="38">
        <v>46306</v>
      </c>
      <c r="C526" s="18" t="s">
        <v>54</v>
      </c>
      <c r="D526" s="18" t="s">
        <v>26</v>
      </c>
      <c r="E526" s="18" t="s">
        <v>49</v>
      </c>
      <c r="F526" s="18">
        <v>4</v>
      </c>
      <c r="G526" s="39">
        <v>864</v>
      </c>
      <c r="H526" s="39">
        <v>3456</v>
      </c>
      <c r="I526" s="18" t="s">
        <v>33</v>
      </c>
    </row>
    <row r="527" spans="1:9" x14ac:dyDescent="0.3">
      <c r="A527" s="18" t="s">
        <v>571</v>
      </c>
      <c r="B527" s="38">
        <v>46303</v>
      </c>
      <c r="C527" s="18" t="s">
        <v>25</v>
      </c>
      <c r="D527" s="18" t="s">
        <v>31</v>
      </c>
      <c r="E527" s="18" t="s">
        <v>32</v>
      </c>
      <c r="F527" s="18">
        <v>6</v>
      </c>
      <c r="G527" s="39">
        <v>5776</v>
      </c>
      <c r="H527" s="39">
        <v>34656</v>
      </c>
      <c r="I527" s="18" t="s">
        <v>33</v>
      </c>
    </row>
    <row r="528" spans="1:9" x14ac:dyDescent="0.3">
      <c r="A528" s="18" t="s">
        <v>572</v>
      </c>
      <c r="B528" s="38">
        <v>46296</v>
      </c>
      <c r="C528" s="18" t="s">
        <v>56</v>
      </c>
      <c r="D528" s="18" t="s">
        <v>26</v>
      </c>
      <c r="E528" s="18" t="s">
        <v>49</v>
      </c>
      <c r="F528" s="18">
        <v>7</v>
      </c>
      <c r="G528" s="39">
        <v>1907</v>
      </c>
      <c r="H528" s="39">
        <v>13349</v>
      </c>
      <c r="I528" s="18" t="s">
        <v>33</v>
      </c>
    </row>
    <row r="529" spans="1:9" x14ac:dyDescent="0.3">
      <c r="A529" s="18" t="s">
        <v>573</v>
      </c>
      <c r="B529" s="38">
        <v>46297</v>
      </c>
      <c r="C529" s="18" t="s">
        <v>52</v>
      </c>
      <c r="D529" s="18" t="s">
        <v>26</v>
      </c>
      <c r="E529" s="18" t="s">
        <v>27</v>
      </c>
      <c r="F529" s="18">
        <v>8</v>
      </c>
      <c r="G529" s="39">
        <v>24515</v>
      </c>
      <c r="H529" s="39">
        <v>196120</v>
      </c>
      <c r="I529" s="18" t="s">
        <v>33</v>
      </c>
    </row>
    <row r="530" spans="1:9" x14ac:dyDescent="0.3">
      <c r="A530" s="18" t="s">
        <v>574</v>
      </c>
      <c r="B530" s="38">
        <v>46305</v>
      </c>
      <c r="C530" s="18" t="s">
        <v>48</v>
      </c>
      <c r="D530" s="18" t="s">
        <v>31</v>
      </c>
      <c r="E530" s="18" t="s">
        <v>27</v>
      </c>
      <c r="F530" s="18">
        <v>5</v>
      </c>
      <c r="G530" s="39">
        <v>5698</v>
      </c>
      <c r="H530" s="39">
        <v>28490</v>
      </c>
      <c r="I530" s="18" t="s">
        <v>33</v>
      </c>
    </row>
    <row r="531" spans="1:9" x14ac:dyDescent="0.3">
      <c r="A531" s="18" t="s">
        <v>575</v>
      </c>
      <c r="B531" s="38">
        <v>46304</v>
      </c>
      <c r="C531" s="18" t="s">
        <v>48</v>
      </c>
      <c r="D531" s="18" t="s">
        <v>26</v>
      </c>
      <c r="E531" s="18" t="s">
        <v>46</v>
      </c>
      <c r="F531" s="18">
        <v>4</v>
      </c>
      <c r="G531" s="39">
        <v>24483</v>
      </c>
      <c r="H531" s="39">
        <v>97932</v>
      </c>
      <c r="I531" s="18" t="s">
        <v>33</v>
      </c>
    </row>
    <row r="532" spans="1:9" x14ac:dyDescent="0.3">
      <c r="A532" s="18" t="s">
        <v>576</v>
      </c>
      <c r="B532" s="38">
        <v>46305</v>
      </c>
      <c r="C532" s="18" t="s">
        <v>62</v>
      </c>
      <c r="D532" s="18" t="s">
        <v>26</v>
      </c>
      <c r="E532" s="18" t="s">
        <v>49</v>
      </c>
      <c r="F532" s="18">
        <v>5</v>
      </c>
      <c r="G532" s="39">
        <v>2648</v>
      </c>
      <c r="H532" s="39">
        <v>13240</v>
      </c>
      <c r="I532" s="18" t="s">
        <v>33</v>
      </c>
    </row>
    <row r="533" spans="1:9" x14ac:dyDescent="0.3">
      <c r="A533" s="18" t="s">
        <v>577</v>
      </c>
      <c r="B533" s="38">
        <v>46299</v>
      </c>
      <c r="C533" s="18" t="s">
        <v>56</v>
      </c>
      <c r="D533" s="18" t="s">
        <v>38</v>
      </c>
      <c r="E533" s="18" t="s">
        <v>42</v>
      </c>
      <c r="F533" s="18">
        <v>2</v>
      </c>
      <c r="G533" s="39">
        <v>3968</v>
      </c>
      <c r="H533" s="39">
        <v>7936</v>
      </c>
      <c r="I533" s="18" t="s">
        <v>39</v>
      </c>
    </row>
    <row r="534" spans="1:9" x14ac:dyDescent="0.3">
      <c r="A534" s="18" t="s">
        <v>578</v>
      </c>
      <c r="B534" s="38">
        <v>46312</v>
      </c>
      <c r="C534" s="18" t="s">
        <v>30</v>
      </c>
      <c r="D534" s="18" t="s">
        <v>41</v>
      </c>
      <c r="E534" s="18" t="s">
        <v>42</v>
      </c>
      <c r="F534" s="18">
        <v>5</v>
      </c>
      <c r="G534" s="39">
        <v>3484</v>
      </c>
      <c r="H534" s="39">
        <v>17420</v>
      </c>
      <c r="I534" s="18" t="s">
        <v>33</v>
      </c>
    </row>
    <row r="535" spans="1:9" x14ac:dyDescent="0.3">
      <c r="A535" s="18" t="s">
        <v>579</v>
      </c>
      <c r="B535" s="38">
        <v>46300</v>
      </c>
      <c r="C535" s="18" t="s">
        <v>48</v>
      </c>
      <c r="D535" s="18" t="s">
        <v>36</v>
      </c>
      <c r="E535" s="18" t="s">
        <v>49</v>
      </c>
      <c r="F535" s="18">
        <v>7</v>
      </c>
      <c r="G535" s="39">
        <v>2582</v>
      </c>
      <c r="H535" s="39">
        <v>18074</v>
      </c>
      <c r="I535" s="18" t="s">
        <v>39</v>
      </c>
    </row>
    <row r="536" spans="1:9" x14ac:dyDescent="0.3">
      <c r="A536" s="18" t="s">
        <v>580</v>
      </c>
      <c r="B536" s="38">
        <v>46310</v>
      </c>
      <c r="C536" s="18" t="s">
        <v>48</v>
      </c>
      <c r="D536" s="18" t="s">
        <v>26</v>
      </c>
      <c r="E536" s="18" t="s">
        <v>27</v>
      </c>
      <c r="F536" s="18">
        <v>2</v>
      </c>
      <c r="G536" s="39">
        <v>18477</v>
      </c>
      <c r="H536" s="39">
        <v>36954</v>
      </c>
      <c r="I536" s="18" t="s">
        <v>33</v>
      </c>
    </row>
    <row r="537" spans="1:9" x14ac:dyDescent="0.3">
      <c r="A537" s="18" t="s">
        <v>581</v>
      </c>
      <c r="B537" s="38">
        <v>46301</v>
      </c>
      <c r="C537" s="18" t="s">
        <v>44</v>
      </c>
      <c r="D537" s="18" t="s">
        <v>38</v>
      </c>
      <c r="E537" s="18" t="s">
        <v>46</v>
      </c>
      <c r="F537" s="18">
        <v>8</v>
      </c>
      <c r="G537" s="39">
        <v>19125</v>
      </c>
      <c r="H537" s="39">
        <v>153000</v>
      </c>
      <c r="I537" s="18" t="s">
        <v>33</v>
      </c>
    </row>
    <row r="538" spans="1:9" x14ac:dyDescent="0.3">
      <c r="A538" s="18" t="s">
        <v>582</v>
      </c>
      <c r="B538" s="38">
        <v>46301</v>
      </c>
      <c r="C538" s="18" t="s">
        <v>48</v>
      </c>
      <c r="D538" s="18" t="s">
        <v>41</v>
      </c>
      <c r="E538" s="18" t="s">
        <v>46</v>
      </c>
      <c r="F538" s="18">
        <v>3</v>
      </c>
      <c r="G538" s="39">
        <v>41470</v>
      </c>
      <c r="H538" s="39">
        <v>124410</v>
      </c>
      <c r="I538" s="18" t="s">
        <v>33</v>
      </c>
    </row>
    <row r="539" spans="1:9" x14ac:dyDescent="0.3">
      <c r="A539" s="18" t="s">
        <v>583</v>
      </c>
      <c r="B539" s="38">
        <v>46309</v>
      </c>
      <c r="C539" s="18" t="s">
        <v>62</v>
      </c>
      <c r="D539" s="18" t="s">
        <v>41</v>
      </c>
      <c r="E539" s="18" t="s">
        <v>32</v>
      </c>
      <c r="F539" s="18">
        <v>7</v>
      </c>
      <c r="G539" s="39">
        <v>238</v>
      </c>
      <c r="H539" s="39">
        <v>1666</v>
      </c>
      <c r="I539" s="18" t="s">
        <v>33</v>
      </c>
    </row>
    <row r="540" spans="1:9" x14ac:dyDescent="0.3">
      <c r="A540" s="18" t="s">
        <v>584</v>
      </c>
      <c r="B540" s="38">
        <v>46302</v>
      </c>
      <c r="C540" s="18" t="s">
        <v>44</v>
      </c>
      <c r="D540" s="18" t="s">
        <v>38</v>
      </c>
      <c r="E540" s="18" t="s">
        <v>49</v>
      </c>
      <c r="F540" s="18">
        <v>4</v>
      </c>
      <c r="G540" s="39">
        <v>323</v>
      </c>
      <c r="H540" s="39">
        <v>1292</v>
      </c>
      <c r="I540" s="18" t="s">
        <v>28</v>
      </c>
    </row>
    <row r="541" spans="1:9" x14ac:dyDescent="0.3">
      <c r="A541" s="18" t="s">
        <v>585</v>
      </c>
      <c r="B541" s="38">
        <v>46303</v>
      </c>
      <c r="C541" s="18" t="s">
        <v>52</v>
      </c>
      <c r="D541" s="18" t="s">
        <v>26</v>
      </c>
      <c r="E541" s="18" t="s">
        <v>49</v>
      </c>
      <c r="F541" s="18">
        <v>3</v>
      </c>
      <c r="G541" s="39">
        <v>670</v>
      </c>
      <c r="H541" s="39">
        <v>2010</v>
      </c>
      <c r="I541" s="18" t="s">
        <v>33</v>
      </c>
    </row>
    <row r="542" spans="1:9" x14ac:dyDescent="0.3">
      <c r="A542" s="18" t="s">
        <v>586</v>
      </c>
      <c r="B542" s="38">
        <v>46305</v>
      </c>
      <c r="C542" s="18" t="s">
        <v>48</v>
      </c>
      <c r="D542" s="18" t="s">
        <v>38</v>
      </c>
      <c r="E542" s="18" t="s">
        <v>46</v>
      </c>
      <c r="F542" s="18">
        <v>5</v>
      </c>
      <c r="G542" s="39">
        <v>20259</v>
      </c>
      <c r="H542" s="39">
        <v>101295</v>
      </c>
      <c r="I542" s="18" t="s">
        <v>33</v>
      </c>
    </row>
    <row r="543" spans="1:9" x14ac:dyDescent="0.3">
      <c r="A543" s="18" t="s">
        <v>587</v>
      </c>
      <c r="B543" s="38">
        <v>46312</v>
      </c>
      <c r="C543" s="18" t="s">
        <v>44</v>
      </c>
      <c r="D543" s="18" t="s">
        <v>41</v>
      </c>
      <c r="E543" s="18" t="s">
        <v>27</v>
      </c>
      <c r="F543" s="18">
        <v>6</v>
      </c>
      <c r="G543" s="39">
        <v>18562</v>
      </c>
      <c r="H543" s="39">
        <v>111372</v>
      </c>
      <c r="I543" s="18" t="s">
        <v>33</v>
      </c>
    </row>
    <row r="544" spans="1:9" x14ac:dyDescent="0.3">
      <c r="A544" s="18" t="s">
        <v>588</v>
      </c>
      <c r="B544" s="38">
        <v>46302</v>
      </c>
      <c r="C544" s="18" t="s">
        <v>48</v>
      </c>
      <c r="D544" s="18" t="s">
        <v>41</v>
      </c>
      <c r="E544" s="18" t="s">
        <v>46</v>
      </c>
      <c r="F544" s="18">
        <v>4</v>
      </c>
      <c r="G544" s="39">
        <v>15901</v>
      </c>
      <c r="H544" s="39">
        <v>63604</v>
      </c>
      <c r="I544" s="18" t="s">
        <v>28</v>
      </c>
    </row>
    <row r="545" spans="1:9" x14ac:dyDescent="0.3">
      <c r="A545" s="18" t="s">
        <v>589</v>
      </c>
      <c r="B545" s="38">
        <v>46300</v>
      </c>
      <c r="C545" s="18" t="s">
        <v>52</v>
      </c>
      <c r="D545" s="18" t="s">
        <v>38</v>
      </c>
      <c r="E545" s="18" t="s">
        <v>42</v>
      </c>
      <c r="F545" s="18">
        <v>3</v>
      </c>
      <c r="G545" s="39">
        <v>1108</v>
      </c>
      <c r="H545" s="39">
        <v>3324</v>
      </c>
      <c r="I545" s="18" t="s">
        <v>33</v>
      </c>
    </row>
    <row r="546" spans="1:9" x14ac:dyDescent="0.3">
      <c r="A546" s="18" t="s">
        <v>590</v>
      </c>
      <c r="B546" s="38">
        <v>46297</v>
      </c>
      <c r="C546" s="18" t="s">
        <v>62</v>
      </c>
      <c r="D546" s="18" t="s">
        <v>26</v>
      </c>
      <c r="E546" s="18" t="s">
        <v>42</v>
      </c>
      <c r="F546" s="18">
        <v>1</v>
      </c>
      <c r="G546" s="39">
        <v>4965</v>
      </c>
      <c r="H546" s="39">
        <v>4965</v>
      </c>
      <c r="I546" s="18" t="s">
        <v>79</v>
      </c>
    </row>
    <row r="547" spans="1:9" x14ac:dyDescent="0.3">
      <c r="A547" s="18" t="s">
        <v>591</v>
      </c>
      <c r="B547" s="38">
        <v>46299</v>
      </c>
      <c r="C547" s="18" t="s">
        <v>25</v>
      </c>
      <c r="D547" s="18" t="s">
        <v>38</v>
      </c>
      <c r="E547" s="18" t="s">
        <v>46</v>
      </c>
      <c r="F547" s="18">
        <v>7</v>
      </c>
      <c r="G547" s="39">
        <v>30318</v>
      </c>
      <c r="H547" s="39">
        <v>212226</v>
      </c>
      <c r="I547" s="18" t="s">
        <v>33</v>
      </c>
    </row>
    <row r="548" spans="1:9" x14ac:dyDescent="0.3">
      <c r="A548" s="18" t="s">
        <v>592</v>
      </c>
      <c r="B548" s="38">
        <v>46313</v>
      </c>
      <c r="C548" s="18" t="s">
        <v>54</v>
      </c>
      <c r="D548" s="18" t="s">
        <v>41</v>
      </c>
      <c r="E548" s="18" t="s">
        <v>27</v>
      </c>
      <c r="F548" s="18">
        <v>4</v>
      </c>
      <c r="G548" s="39">
        <v>25280</v>
      </c>
      <c r="H548" s="39">
        <v>101120</v>
      </c>
      <c r="I548" s="18" t="s">
        <v>28</v>
      </c>
    </row>
    <row r="549" spans="1:9" x14ac:dyDescent="0.3">
      <c r="A549" s="18" t="s">
        <v>593</v>
      </c>
      <c r="B549" s="38">
        <v>46296</v>
      </c>
      <c r="C549" s="18" t="s">
        <v>54</v>
      </c>
      <c r="D549" s="18" t="s">
        <v>41</v>
      </c>
      <c r="E549" s="18" t="s">
        <v>46</v>
      </c>
      <c r="F549" s="18">
        <v>5</v>
      </c>
      <c r="G549" s="39">
        <v>42015</v>
      </c>
      <c r="H549" s="39">
        <v>210075</v>
      </c>
      <c r="I549" s="18" t="s">
        <v>33</v>
      </c>
    </row>
    <row r="550" spans="1:9" x14ac:dyDescent="0.3">
      <c r="A550" s="18" t="s">
        <v>594</v>
      </c>
      <c r="B550" s="38">
        <v>46300</v>
      </c>
      <c r="C550" s="18" t="s">
        <v>62</v>
      </c>
      <c r="D550" s="18" t="s">
        <v>38</v>
      </c>
      <c r="E550" s="18" t="s">
        <v>42</v>
      </c>
      <c r="F550" s="18">
        <v>2</v>
      </c>
      <c r="G550" s="39">
        <v>2415</v>
      </c>
      <c r="H550" s="39">
        <v>4830</v>
      </c>
      <c r="I550" s="18" t="s">
        <v>33</v>
      </c>
    </row>
    <row r="551" spans="1:9" x14ac:dyDescent="0.3">
      <c r="A551" s="18" t="s">
        <v>595</v>
      </c>
      <c r="B551" s="38">
        <v>46299</v>
      </c>
      <c r="C551" s="18" t="s">
        <v>56</v>
      </c>
      <c r="D551" s="18" t="s">
        <v>36</v>
      </c>
      <c r="E551" s="18" t="s">
        <v>42</v>
      </c>
      <c r="F551" s="18">
        <v>4</v>
      </c>
      <c r="G551" s="39">
        <v>2254</v>
      </c>
      <c r="H551" s="39">
        <v>9016</v>
      </c>
      <c r="I551" s="18" t="s">
        <v>39</v>
      </c>
    </row>
    <row r="552" spans="1:9" x14ac:dyDescent="0.3">
      <c r="A552" s="18" t="s">
        <v>596</v>
      </c>
      <c r="B552" s="38">
        <v>46302</v>
      </c>
      <c r="C552" s="18" t="s">
        <v>44</v>
      </c>
      <c r="D552" s="18" t="s">
        <v>41</v>
      </c>
      <c r="E552" s="18" t="s">
        <v>49</v>
      </c>
      <c r="F552" s="18">
        <v>3</v>
      </c>
      <c r="G552" s="39">
        <v>411</v>
      </c>
      <c r="H552" s="39">
        <v>1233</v>
      </c>
      <c r="I552" s="18" t="s">
        <v>33</v>
      </c>
    </row>
    <row r="553" spans="1:9" x14ac:dyDescent="0.3">
      <c r="A553" s="18" t="s">
        <v>597</v>
      </c>
      <c r="B553" s="38">
        <v>46302</v>
      </c>
      <c r="C553" s="18" t="s">
        <v>56</v>
      </c>
      <c r="D553" s="18" t="s">
        <v>26</v>
      </c>
      <c r="E553" s="18" t="s">
        <v>27</v>
      </c>
      <c r="F553" s="18">
        <v>1</v>
      </c>
      <c r="G553" s="39">
        <v>2917</v>
      </c>
      <c r="H553" s="39">
        <v>2917</v>
      </c>
      <c r="I553" s="18" t="s">
        <v>28</v>
      </c>
    </row>
    <row r="554" spans="1:9" x14ac:dyDescent="0.3">
      <c r="A554" s="18" t="s">
        <v>598</v>
      </c>
      <c r="B554" s="38">
        <v>46299</v>
      </c>
      <c r="C554" s="18" t="s">
        <v>56</v>
      </c>
      <c r="D554" s="18" t="s">
        <v>36</v>
      </c>
      <c r="E554" s="18" t="s">
        <v>46</v>
      </c>
      <c r="F554" s="18">
        <v>2</v>
      </c>
      <c r="G554" s="39">
        <v>7838</v>
      </c>
      <c r="H554" s="39">
        <v>15676</v>
      </c>
      <c r="I554" s="18" t="s">
        <v>39</v>
      </c>
    </row>
    <row r="555" spans="1:9" x14ac:dyDescent="0.3">
      <c r="A555" s="18" t="s">
        <v>599</v>
      </c>
      <c r="B555" s="38">
        <v>46303</v>
      </c>
      <c r="C555" s="18" t="s">
        <v>56</v>
      </c>
      <c r="D555" s="18" t="s">
        <v>26</v>
      </c>
      <c r="E555" s="18" t="s">
        <v>49</v>
      </c>
      <c r="F555" s="18">
        <v>8</v>
      </c>
      <c r="G555" s="39">
        <v>455</v>
      </c>
      <c r="H555" s="39">
        <v>3640</v>
      </c>
      <c r="I555" s="18" t="s">
        <v>33</v>
      </c>
    </row>
    <row r="556" spans="1:9" x14ac:dyDescent="0.3">
      <c r="A556" s="18" t="s">
        <v>600</v>
      </c>
      <c r="B556" s="38">
        <v>46301</v>
      </c>
      <c r="C556" s="18" t="s">
        <v>25</v>
      </c>
      <c r="D556" s="18" t="s">
        <v>26</v>
      </c>
      <c r="E556" s="18" t="s">
        <v>49</v>
      </c>
      <c r="F556" s="18">
        <v>6</v>
      </c>
      <c r="G556" s="39">
        <v>1994</v>
      </c>
      <c r="H556" s="39">
        <v>11964</v>
      </c>
      <c r="I556" s="18" t="s">
        <v>28</v>
      </c>
    </row>
    <row r="557" spans="1:9" x14ac:dyDescent="0.3">
      <c r="A557" s="18" t="s">
        <v>601</v>
      </c>
      <c r="B557" s="38">
        <v>46299</v>
      </c>
      <c r="C557" s="18" t="s">
        <v>25</v>
      </c>
      <c r="D557" s="18" t="s">
        <v>38</v>
      </c>
      <c r="E557" s="18" t="s">
        <v>27</v>
      </c>
      <c r="F557" s="18">
        <v>3</v>
      </c>
      <c r="G557" s="39">
        <v>13269</v>
      </c>
      <c r="H557" s="39">
        <v>39807</v>
      </c>
      <c r="I557" s="18" t="s">
        <v>33</v>
      </c>
    </row>
    <row r="558" spans="1:9" x14ac:dyDescent="0.3">
      <c r="A558" s="18" t="s">
        <v>602</v>
      </c>
      <c r="B558" s="38">
        <v>46310</v>
      </c>
      <c r="C558" s="18" t="s">
        <v>54</v>
      </c>
      <c r="D558" s="18" t="s">
        <v>38</v>
      </c>
      <c r="E558" s="18" t="s">
        <v>49</v>
      </c>
      <c r="F558" s="18">
        <v>6</v>
      </c>
      <c r="G558" s="39">
        <v>999</v>
      </c>
      <c r="H558" s="39">
        <v>5994</v>
      </c>
      <c r="I558" s="18" t="s">
        <v>33</v>
      </c>
    </row>
    <row r="559" spans="1:9" x14ac:dyDescent="0.3">
      <c r="A559" s="18" t="s">
        <v>603</v>
      </c>
      <c r="B559" s="38">
        <v>46308</v>
      </c>
      <c r="C559" s="18" t="s">
        <v>56</v>
      </c>
      <c r="D559" s="18" t="s">
        <v>26</v>
      </c>
      <c r="E559" s="18" t="s">
        <v>32</v>
      </c>
      <c r="F559" s="18">
        <v>8</v>
      </c>
      <c r="G559" s="39">
        <v>6752</v>
      </c>
      <c r="H559" s="39">
        <v>54016</v>
      </c>
      <c r="I559" s="18" t="s">
        <v>33</v>
      </c>
    </row>
    <row r="560" spans="1:9" x14ac:dyDescent="0.3">
      <c r="A560" s="18" t="s">
        <v>604</v>
      </c>
      <c r="B560" s="38">
        <v>46301</v>
      </c>
      <c r="C560" s="18" t="s">
        <v>30</v>
      </c>
      <c r="D560" s="18" t="s">
        <v>36</v>
      </c>
      <c r="E560" s="18" t="s">
        <v>46</v>
      </c>
      <c r="F560" s="18">
        <v>3</v>
      </c>
      <c r="G560" s="39">
        <v>7996</v>
      </c>
      <c r="H560" s="39">
        <v>23988</v>
      </c>
      <c r="I560" s="18" t="s">
        <v>33</v>
      </c>
    </row>
    <row r="561" spans="1:9" x14ac:dyDescent="0.3">
      <c r="A561" s="18" t="s">
        <v>605</v>
      </c>
      <c r="B561" s="38">
        <v>46311</v>
      </c>
      <c r="C561" s="18" t="s">
        <v>56</v>
      </c>
      <c r="D561" s="18" t="s">
        <v>36</v>
      </c>
      <c r="E561" s="18" t="s">
        <v>42</v>
      </c>
      <c r="F561" s="18">
        <v>7</v>
      </c>
      <c r="G561" s="39">
        <v>3037</v>
      </c>
      <c r="H561" s="39">
        <v>21259</v>
      </c>
      <c r="I561" s="18" t="s">
        <v>33</v>
      </c>
    </row>
    <row r="562" spans="1:9" x14ac:dyDescent="0.3">
      <c r="A562" s="18" t="s">
        <v>606</v>
      </c>
      <c r="B562" s="38">
        <v>46300</v>
      </c>
      <c r="C562" s="18" t="s">
        <v>56</v>
      </c>
      <c r="D562" s="18" t="s">
        <v>41</v>
      </c>
      <c r="E562" s="18" t="s">
        <v>46</v>
      </c>
      <c r="F562" s="18">
        <v>7</v>
      </c>
      <c r="G562" s="39">
        <v>30080</v>
      </c>
      <c r="H562" s="39">
        <v>210560</v>
      </c>
      <c r="I562" s="18" t="s">
        <v>33</v>
      </c>
    </row>
    <row r="563" spans="1:9" x14ac:dyDescent="0.3">
      <c r="A563" s="18" t="s">
        <v>607</v>
      </c>
      <c r="B563" s="38">
        <v>46304</v>
      </c>
      <c r="C563" s="18" t="s">
        <v>44</v>
      </c>
      <c r="D563" s="18" t="s">
        <v>38</v>
      </c>
      <c r="E563" s="18" t="s">
        <v>42</v>
      </c>
      <c r="F563" s="18">
        <v>4</v>
      </c>
      <c r="G563" s="39">
        <v>2871</v>
      </c>
      <c r="H563" s="39">
        <v>11484</v>
      </c>
      <c r="I563" s="18" t="s">
        <v>33</v>
      </c>
    </row>
    <row r="564" spans="1:9" x14ac:dyDescent="0.3">
      <c r="A564" s="18" t="s">
        <v>608</v>
      </c>
      <c r="B564" s="38">
        <v>46299</v>
      </c>
      <c r="C564" s="18" t="s">
        <v>62</v>
      </c>
      <c r="D564" s="18" t="s">
        <v>36</v>
      </c>
      <c r="E564" s="18" t="s">
        <v>32</v>
      </c>
      <c r="F564" s="18">
        <v>6</v>
      </c>
      <c r="G564" s="39">
        <v>5637</v>
      </c>
      <c r="H564" s="39">
        <v>33822</v>
      </c>
      <c r="I564" s="18" t="s">
        <v>28</v>
      </c>
    </row>
    <row r="565" spans="1:9" x14ac:dyDescent="0.3">
      <c r="A565" s="18" t="s">
        <v>609</v>
      </c>
      <c r="B565" s="38">
        <v>46308</v>
      </c>
      <c r="C565" s="18" t="s">
        <v>48</v>
      </c>
      <c r="D565" s="18" t="s">
        <v>31</v>
      </c>
      <c r="E565" s="18" t="s">
        <v>42</v>
      </c>
      <c r="F565" s="18">
        <v>1</v>
      </c>
      <c r="G565" s="39">
        <v>195</v>
      </c>
      <c r="H565" s="39">
        <v>195</v>
      </c>
      <c r="I565" s="18" t="s">
        <v>28</v>
      </c>
    </row>
    <row r="566" spans="1:9" x14ac:dyDescent="0.3">
      <c r="A566" s="18" t="s">
        <v>610</v>
      </c>
      <c r="B566" s="38">
        <v>46301</v>
      </c>
      <c r="C566" s="18" t="s">
        <v>56</v>
      </c>
      <c r="D566" s="18" t="s">
        <v>41</v>
      </c>
      <c r="E566" s="18" t="s">
        <v>27</v>
      </c>
      <c r="F566" s="18">
        <v>2</v>
      </c>
      <c r="G566" s="39">
        <v>27122</v>
      </c>
      <c r="H566" s="39">
        <v>54244</v>
      </c>
      <c r="I566" s="18" t="s">
        <v>33</v>
      </c>
    </row>
    <row r="567" spans="1:9" x14ac:dyDescent="0.3">
      <c r="A567" s="18" t="s">
        <v>611</v>
      </c>
      <c r="B567" s="38">
        <v>46303</v>
      </c>
      <c r="C567" s="18" t="s">
        <v>44</v>
      </c>
      <c r="D567" s="18" t="s">
        <v>26</v>
      </c>
      <c r="E567" s="18" t="s">
        <v>46</v>
      </c>
      <c r="F567" s="18">
        <v>4</v>
      </c>
      <c r="G567" s="39">
        <v>37277</v>
      </c>
      <c r="H567" s="39">
        <v>149108</v>
      </c>
      <c r="I567" s="18" t="s">
        <v>28</v>
      </c>
    </row>
    <row r="568" spans="1:9" x14ac:dyDescent="0.3">
      <c r="A568" s="18" t="s">
        <v>612</v>
      </c>
      <c r="B568" s="38">
        <v>46308</v>
      </c>
      <c r="C568" s="18" t="s">
        <v>52</v>
      </c>
      <c r="D568" s="18" t="s">
        <v>38</v>
      </c>
      <c r="E568" s="18" t="s">
        <v>32</v>
      </c>
      <c r="F568" s="18">
        <v>8</v>
      </c>
      <c r="G568" s="39">
        <v>6763</v>
      </c>
      <c r="H568" s="39">
        <v>54104</v>
      </c>
      <c r="I568" s="18" t="s">
        <v>33</v>
      </c>
    </row>
    <row r="569" spans="1:9" x14ac:dyDescent="0.3">
      <c r="A569" s="18" t="s">
        <v>613</v>
      </c>
      <c r="B569" s="38">
        <v>46298</v>
      </c>
      <c r="C569" s="18" t="s">
        <v>56</v>
      </c>
      <c r="D569" s="18" t="s">
        <v>41</v>
      </c>
      <c r="E569" s="18" t="s">
        <v>49</v>
      </c>
      <c r="F569" s="18">
        <v>2</v>
      </c>
      <c r="G569" s="39">
        <v>2287</v>
      </c>
      <c r="H569" s="39">
        <v>4574</v>
      </c>
      <c r="I569" s="18" t="s">
        <v>28</v>
      </c>
    </row>
    <row r="570" spans="1:9" x14ac:dyDescent="0.3">
      <c r="A570" s="18" t="s">
        <v>614</v>
      </c>
      <c r="B570" s="38">
        <v>46296</v>
      </c>
      <c r="C570" s="18" t="s">
        <v>30</v>
      </c>
      <c r="D570" s="18" t="s">
        <v>41</v>
      </c>
      <c r="E570" s="18" t="s">
        <v>32</v>
      </c>
      <c r="F570" s="18">
        <v>1</v>
      </c>
      <c r="G570" s="39">
        <v>4764</v>
      </c>
      <c r="H570" s="39">
        <v>4764</v>
      </c>
      <c r="I570" s="18" t="s">
        <v>33</v>
      </c>
    </row>
    <row r="571" spans="1:9" x14ac:dyDescent="0.3">
      <c r="A571" s="18" t="s">
        <v>615</v>
      </c>
      <c r="B571" s="38">
        <v>46298</v>
      </c>
      <c r="C571" s="18" t="s">
        <v>54</v>
      </c>
      <c r="D571" s="18" t="s">
        <v>31</v>
      </c>
      <c r="E571" s="18" t="s">
        <v>42</v>
      </c>
      <c r="F571" s="18">
        <v>4</v>
      </c>
      <c r="G571" s="39">
        <v>5462</v>
      </c>
      <c r="H571" s="39">
        <v>21848</v>
      </c>
      <c r="I571" s="18" t="s">
        <v>28</v>
      </c>
    </row>
    <row r="572" spans="1:9" x14ac:dyDescent="0.3">
      <c r="A572" s="18" t="s">
        <v>616</v>
      </c>
      <c r="B572" s="38">
        <v>46306</v>
      </c>
      <c r="C572" s="18" t="s">
        <v>44</v>
      </c>
      <c r="D572" s="18" t="s">
        <v>38</v>
      </c>
      <c r="E572" s="18" t="s">
        <v>27</v>
      </c>
      <c r="F572" s="18">
        <v>8</v>
      </c>
      <c r="G572" s="39">
        <v>13378</v>
      </c>
      <c r="H572" s="39">
        <v>107024</v>
      </c>
      <c r="I572" s="18" t="s">
        <v>33</v>
      </c>
    </row>
    <row r="573" spans="1:9" x14ac:dyDescent="0.3">
      <c r="A573" s="18" t="s">
        <v>617</v>
      </c>
      <c r="B573" s="38">
        <v>46311</v>
      </c>
      <c r="C573" s="18" t="s">
        <v>44</v>
      </c>
      <c r="D573" s="18" t="s">
        <v>41</v>
      </c>
      <c r="E573" s="18" t="s">
        <v>46</v>
      </c>
      <c r="F573" s="18">
        <v>2</v>
      </c>
      <c r="G573" s="39">
        <v>44382</v>
      </c>
      <c r="H573" s="39">
        <v>88764</v>
      </c>
      <c r="I573" s="18" t="s">
        <v>33</v>
      </c>
    </row>
    <row r="574" spans="1:9" x14ac:dyDescent="0.3">
      <c r="A574" s="18" t="s">
        <v>618</v>
      </c>
      <c r="B574" s="38">
        <v>46306</v>
      </c>
      <c r="C574" s="18" t="s">
        <v>44</v>
      </c>
      <c r="D574" s="18" t="s">
        <v>26</v>
      </c>
      <c r="E574" s="18" t="s">
        <v>42</v>
      </c>
      <c r="F574" s="18">
        <v>6</v>
      </c>
      <c r="G574" s="39">
        <v>970</v>
      </c>
      <c r="H574" s="39">
        <v>5820</v>
      </c>
      <c r="I574" s="18" t="s">
        <v>33</v>
      </c>
    </row>
    <row r="575" spans="1:9" x14ac:dyDescent="0.3">
      <c r="A575" s="18" t="s">
        <v>619</v>
      </c>
      <c r="B575" s="38">
        <v>46301</v>
      </c>
      <c r="C575" s="18" t="s">
        <v>56</v>
      </c>
      <c r="D575" s="18" t="s">
        <v>36</v>
      </c>
      <c r="E575" s="18" t="s">
        <v>32</v>
      </c>
      <c r="F575" s="18">
        <v>2</v>
      </c>
      <c r="G575" s="39">
        <v>2283</v>
      </c>
      <c r="H575" s="39">
        <v>4566</v>
      </c>
      <c r="I575" s="18" t="s">
        <v>33</v>
      </c>
    </row>
    <row r="576" spans="1:9" x14ac:dyDescent="0.3">
      <c r="A576" s="18" t="s">
        <v>620</v>
      </c>
      <c r="B576" s="38">
        <v>46302</v>
      </c>
      <c r="C576" s="18" t="s">
        <v>30</v>
      </c>
      <c r="D576" s="18" t="s">
        <v>41</v>
      </c>
      <c r="E576" s="18" t="s">
        <v>27</v>
      </c>
      <c r="F576" s="18">
        <v>8</v>
      </c>
      <c r="G576" s="39">
        <v>29518</v>
      </c>
      <c r="H576" s="39">
        <v>236144</v>
      </c>
      <c r="I576" s="18" t="s">
        <v>39</v>
      </c>
    </row>
    <row r="577" spans="1:9" x14ac:dyDescent="0.3">
      <c r="A577" s="18" t="s">
        <v>621</v>
      </c>
      <c r="B577" s="38">
        <v>46306</v>
      </c>
      <c r="C577" s="18" t="s">
        <v>30</v>
      </c>
      <c r="D577" s="18" t="s">
        <v>41</v>
      </c>
      <c r="E577" s="18" t="s">
        <v>46</v>
      </c>
      <c r="F577" s="18">
        <v>2</v>
      </c>
      <c r="G577" s="39">
        <v>30724</v>
      </c>
      <c r="H577" s="39">
        <v>61448</v>
      </c>
      <c r="I577" s="18" t="s">
        <v>33</v>
      </c>
    </row>
    <row r="578" spans="1:9" x14ac:dyDescent="0.3">
      <c r="A578" s="18" t="s">
        <v>622</v>
      </c>
      <c r="B578" s="38">
        <v>46312</v>
      </c>
      <c r="C578" s="18" t="s">
        <v>48</v>
      </c>
      <c r="D578" s="18" t="s">
        <v>41</v>
      </c>
      <c r="E578" s="18" t="s">
        <v>46</v>
      </c>
      <c r="F578" s="18">
        <v>1</v>
      </c>
      <c r="G578" s="39">
        <v>37456</v>
      </c>
      <c r="H578" s="39">
        <v>37456</v>
      </c>
      <c r="I578" s="18" t="s">
        <v>39</v>
      </c>
    </row>
    <row r="579" spans="1:9" x14ac:dyDescent="0.3">
      <c r="A579" s="18" t="s">
        <v>623</v>
      </c>
      <c r="B579" s="38">
        <v>46311</v>
      </c>
      <c r="C579" s="18" t="s">
        <v>48</v>
      </c>
      <c r="D579" s="18" t="s">
        <v>31</v>
      </c>
      <c r="E579" s="18" t="s">
        <v>27</v>
      </c>
      <c r="F579" s="18">
        <v>3</v>
      </c>
      <c r="G579" s="39">
        <v>5893</v>
      </c>
      <c r="H579" s="39">
        <v>17679</v>
      </c>
      <c r="I579" s="18" t="s">
        <v>33</v>
      </c>
    </row>
    <row r="580" spans="1:9" x14ac:dyDescent="0.3">
      <c r="A580" s="18" t="s">
        <v>624</v>
      </c>
      <c r="B580" s="38">
        <v>46306</v>
      </c>
      <c r="C580" s="18" t="s">
        <v>62</v>
      </c>
      <c r="D580" s="18" t="s">
        <v>41</v>
      </c>
      <c r="E580" s="18" t="s">
        <v>42</v>
      </c>
      <c r="F580" s="18">
        <v>4</v>
      </c>
      <c r="G580" s="39">
        <v>2341</v>
      </c>
      <c r="H580" s="39">
        <v>9364</v>
      </c>
      <c r="I580" s="18" t="s">
        <v>33</v>
      </c>
    </row>
    <row r="581" spans="1:9" x14ac:dyDescent="0.3">
      <c r="A581" s="18" t="s">
        <v>625</v>
      </c>
      <c r="B581" s="38">
        <v>46306</v>
      </c>
      <c r="C581" s="18" t="s">
        <v>54</v>
      </c>
      <c r="D581" s="18" t="s">
        <v>41</v>
      </c>
      <c r="E581" s="18" t="s">
        <v>27</v>
      </c>
      <c r="F581" s="18">
        <v>3</v>
      </c>
      <c r="G581" s="39">
        <v>16024</v>
      </c>
      <c r="H581" s="39">
        <v>48072</v>
      </c>
      <c r="I581" s="18" t="s">
        <v>33</v>
      </c>
    </row>
    <row r="582" spans="1:9" x14ac:dyDescent="0.3">
      <c r="A582" s="18" t="s">
        <v>626</v>
      </c>
      <c r="B582" s="38">
        <v>46312</v>
      </c>
      <c r="C582" s="18" t="s">
        <v>54</v>
      </c>
      <c r="D582" s="18" t="s">
        <v>31</v>
      </c>
      <c r="E582" s="18" t="s">
        <v>49</v>
      </c>
      <c r="F582" s="18">
        <v>4</v>
      </c>
      <c r="G582" s="39">
        <v>1072</v>
      </c>
      <c r="H582" s="39">
        <v>4288</v>
      </c>
      <c r="I582" s="18" t="s">
        <v>33</v>
      </c>
    </row>
    <row r="583" spans="1:9" x14ac:dyDescent="0.3">
      <c r="A583" s="18" t="s">
        <v>627</v>
      </c>
      <c r="B583" s="38">
        <v>46305</v>
      </c>
      <c r="C583" s="18" t="s">
        <v>44</v>
      </c>
      <c r="D583" s="18" t="s">
        <v>36</v>
      </c>
      <c r="E583" s="18" t="s">
        <v>27</v>
      </c>
      <c r="F583" s="18">
        <v>6</v>
      </c>
      <c r="G583" s="39">
        <v>25776</v>
      </c>
      <c r="H583" s="39">
        <v>154656</v>
      </c>
      <c r="I583" s="18" t="s">
        <v>33</v>
      </c>
    </row>
    <row r="584" spans="1:9" x14ac:dyDescent="0.3">
      <c r="A584" s="18" t="s">
        <v>628</v>
      </c>
      <c r="B584" s="38">
        <v>46307</v>
      </c>
      <c r="C584" s="18" t="s">
        <v>56</v>
      </c>
      <c r="D584" s="18" t="s">
        <v>31</v>
      </c>
      <c r="E584" s="18" t="s">
        <v>42</v>
      </c>
      <c r="F584" s="18">
        <v>7</v>
      </c>
      <c r="G584" s="39">
        <v>4473</v>
      </c>
      <c r="H584" s="39">
        <v>31311</v>
      </c>
      <c r="I584" s="18" t="s">
        <v>33</v>
      </c>
    </row>
    <row r="585" spans="1:9" x14ac:dyDescent="0.3">
      <c r="A585" s="18" t="s">
        <v>629</v>
      </c>
      <c r="B585" s="38">
        <v>46309</v>
      </c>
      <c r="C585" s="18" t="s">
        <v>25</v>
      </c>
      <c r="D585" s="18" t="s">
        <v>31</v>
      </c>
      <c r="E585" s="18" t="s">
        <v>46</v>
      </c>
      <c r="F585" s="18">
        <v>1</v>
      </c>
      <c r="G585" s="39">
        <v>26160</v>
      </c>
      <c r="H585" s="39">
        <v>26160</v>
      </c>
      <c r="I585" s="18" t="s">
        <v>33</v>
      </c>
    </row>
    <row r="586" spans="1:9" x14ac:dyDescent="0.3">
      <c r="A586" s="18" t="s">
        <v>630</v>
      </c>
      <c r="B586" s="38">
        <v>46297</v>
      </c>
      <c r="C586" s="18" t="s">
        <v>52</v>
      </c>
      <c r="D586" s="18" t="s">
        <v>26</v>
      </c>
      <c r="E586" s="18" t="s">
        <v>27</v>
      </c>
      <c r="F586" s="18">
        <v>5</v>
      </c>
      <c r="G586" s="39">
        <v>24893</v>
      </c>
      <c r="H586" s="39">
        <v>124465</v>
      </c>
      <c r="I586" s="18" t="s">
        <v>33</v>
      </c>
    </row>
    <row r="587" spans="1:9" x14ac:dyDescent="0.3">
      <c r="A587" s="18" t="s">
        <v>631</v>
      </c>
      <c r="B587" s="38">
        <v>46297</v>
      </c>
      <c r="C587" s="18" t="s">
        <v>54</v>
      </c>
      <c r="D587" s="18" t="s">
        <v>36</v>
      </c>
      <c r="E587" s="18" t="s">
        <v>42</v>
      </c>
      <c r="F587" s="18">
        <v>1</v>
      </c>
      <c r="G587" s="39">
        <v>3038</v>
      </c>
      <c r="H587" s="39">
        <v>3038</v>
      </c>
      <c r="I587" s="18" t="s">
        <v>39</v>
      </c>
    </row>
    <row r="588" spans="1:9" x14ac:dyDescent="0.3">
      <c r="A588" s="18" t="s">
        <v>632</v>
      </c>
      <c r="B588" s="38">
        <v>46299</v>
      </c>
      <c r="C588" s="18" t="s">
        <v>52</v>
      </c>
      <c r="D588" s="18" t="s">
        <v>31</v>
      </c>
      <c r="E588" s="18" t="s">
        <v>32</v>
      </c>
      <c r="F588" s="18">
        <v>4</v>
      </c>
      <c r="G588" s="39">
        <v>4385</v>
      </c>
      <c r="H588" s="39">
        <v>17540</v>
      </c>
      <c r="I588" s="18" t="s">
        <v>39</v>
      </c>
    </row>
    <row r="589" spans="1:9" x14ac:dyDescent="0.3">
      <c r="A589" s="18" t="s">
        <v>633</v>
      </c>
      <c r="B589" s="38">
        <v>46305</v>
      </c>
      <c r="C589" s="18" t="s">
        <v>25</v>
      </c>
      <c r="D589" s="18" t="s">
        <v>41</v>
      </c>
      <c r="E589" s="18" t="s">
        <v>32</v>
      </c>
      <c r="F589" s="18">
        <v>7</v>
      </c>
      <c r="G589" s="39">
        <v>6656</v>
      </c>
      <c r="H589" s="39">
        <v>46592</v>
      </c>
      <c r="I589" s="18" t="s">
        <v>79</v>
      </c>
    </row>
    <row r="590" spans="1:9" x14ac:dyDescent="0.3">
      <c r="A590" s="18" t="s">
        <v>634</v>
      </c>
      <c r="B590" s="38">
        <v>46306</v>
      </c>
      <c r="C590" s="18" t="s">
        <v>25</v>
      </c>
      <c r="D590" s="18" t="s">
        <v>38</v>
      </c>
      <c r="E590" s="18" t="s">
        <v>49</v>
      </c>
      <c r="F590" s="18">
        <v>4</v>
      </c>
      <c r="G590" s="39">
        <v>2791</v>
      </c>
      <c r="H590" s="39">
        <v>11164</v>
      </c>
      <c r="I590" s="18" t="s">
        <v>39</v>
      </c>
    </row>
    <row r="591" spans="1:9" x14ac:dyDescent="0.3">
      <c r="A591" s="18" t="s">
        <v>635</v>
      </c>
      <c r="B591" s="38">
        <v>46310</v>
      </c>
      <c r="C591" s="18" t="s">
        <v>52</v>
      </c>
      <c r="D591" s="18" t="s">
        <v>26</v>
      </c>
      <c r="E591" s="18" t="s">
        <v>42</v>
      </c>
      <c r="F591" s="18">
        <v>4</v>
      </c>
      <c r="G591" s="39">
        <v>1685</v>
      </c>
      <c r="H591" s="39">
        <v>6740</v>
      </c>
      <c r="I591" s="18" t="s">
        <v>33</v>
      </c>
    </row>
    <row r="592" spans="1:9" x14ac:dyDescent="0.3">
      <c r="A592" s="18" t="s">
        <v>636</v>
      </c>
      <c r="B592" s="38">
        <v>46301</v>
      </c>
      <c r="C592" s="18" t="s">
        <v>30</v>
      </c>
      <c r="D592" s="18" t="s">
        <v>36</v>
      </c>
      <c r="E592" s="18" t="s">
        <v>27</v>
      </c>
      <c r="F592" s="18">
        <v>2</v>
      </c>
      <c r="G592" s="39">
        <v>14860</v>
      </c>
      <c r="H592" s="39">
        <v>29720</v>
      </c>
      <c r="I592" s="18" t="s">
        <v>33</v>
      </c>
    </row>
    <row r="593" spans="1:9" x14ac:dyDescent="0.3">
      <c r="A593" s="18" t="s">
        <v>637</v>
      </c>
      <c r="B593" s="38">
        <v>46304</v>
      </c>
      <c r="C593" s="18" t="s">
        <v>54</v>
      </c>
      <c r="D593" s="18" t="s">
        <v>36</v>
      </c>
      <c r="E593" s="18" t="s">
        <v>27</v>
      </c>
      <c r="F593" s="18">
        <v>5</v>
      </c>
      <c r="G593" s="39">
        <v>2684</v>
      </c>
      <c r="H593" s="39">
        <v>13420</v>
      </c>
      <c r="I593" s="18" t="s">
        <v>33</v>
      </c>
    </row>
    <row r="594" spans="1:9" x14ac:dyDescent="0.3">
      <c r="A594" s="18" t="s">
        <v>638</v>
      </c>
      <c r="B594" s="38">
        <v>46300</v>
      </c>
      <c r="C594" s="18" t="s">
        <v>25</v>
      </c>
      <c r="D594" s="18" t="s">
        <v>36</v>
      </c>
      <c r="E594" s="18" t="s">
        <v>49</v>
      </c>
      <c r="F594" s="18">
        <v>1</v>
      </c>
      <c r="G594" s="39">
        <v>3418</v>
      </c>
      <c r="H594" s="39">
        <v>3418</v>
      </c>
      <c r="I594" s="18" t="s">
        <v>39</v>
      </c>
    </row>
    <row r="595" spans="1:9" x14ac:dyDescent="0.3">
      <c r="A595" s="18" t="s">
        <v>639</v>
      </c>
      <c r="B595" s="38">
        <v>46305</v>
      </c>
      <c r="C595" s="18" t="s">
        <v>56</v>
      </c>
      <c r="D595" s="18" t="s">
        <v>31</v>
      </c>
      <c r="E595" s="18" t="s">
        <v>42</v>
      </c>
      <c r="F595" s="18">
        <v>6</v>
      </c>
      <c r="G595" s="39">
        <v>697</v>
      </c>
      <c r="H595" s="39">
        <v>4182</v>
      </c>
      <c r="I595" s="18" t="s">
        <v>39</v>
      </c>
    </row>
    <row r="596" spans="1:9" x14ac:dyDescent="0.3">
      <c r="A596" s="18" t="s">
        <v>640</v>
      </c>
      <c r="B596" s="38">
        <v>46306</v>
      </c>
      <c r="C596" s="18" t="s">
        <v>52</v>
      </c>
      <c r="D596" s="18" t="s">
        <v>36</v>
      </c>
      <c r="E596" s="18" t="s">
        <v>42</v>
      </c>
      <c r="F596" s="18">
        <v>2</v>
      </c>
      <c r="G596" s="39">
        <v>4238</v>
      </c>
      <c r="H596" s="39">
        <v>8476</v>
      </c>
      <c r="I596" s="18" t="s">
        <v>33</v>
      </c>
    </row>
    <row r="597" spans="1:9" x14ac:dyDescent="0.3">
      <c r="A597" s="18" t="s">
        <v>641</v>
      </c>
      <c r="B597" s="38">
        <v>46313</v>
      </c>
      <c r="C597" s="18" t="s">
        <v>62</v>
      </c>
      <c r="D597" s="18" t="s">
        <v>38</v>
      </c>
      <c r="E597" s="18" t="s">
        <v>49</v>
      </c>
      <c r="F597" s="18">
        <v>4</v>
      </c>
      <c r="G597" s="39">
        <v>1123</v>
      </c>
      <c r="H597" s="39">
        <v>4492</v>
      </c>
      <c r="I597" s="18" t="s">
        <v>28</v>
      </c>
    </row>
    <row r="598" spans="1:9" x14ac:dyDescent="0.3">
      <c r="A598" s="18" t="s">
        <v>642</v>
      </c>
      <c r="B598" s="38">
        <v>46306</v>
      </c>
      <c r="C598" s="18" t="s">
        <v>44</v>
      </c>
      <c r="D598" s="18" t="s">
        <v>26</v>
      </c>
      <c r="E598" s="18" t="s">
        <v>27</v>
      </c>
      <c r="F598" s="18">
        <v>8</v>
      </c>
      <c r="G598" s="39">
        <v>20893</v>
      </c>
      <c r="H598" s="39">
        <v>167144</v>
      </c>
      <c r="I598" s="18" t="s">
        <v>39</v>
      </c>
    </row>
    <row r="599" spans="1:9" x14ac:dyDescent="0.3">
      <c r="A599" s="18" t="s">
        <v>643</v>
      </c>
      <c r="B599" s="38">
        <v>46296</v>
      </c>
      <c r="C599" s="18" t="s">
        <v>30</v>
      </c>
      <c r="D599" s="18" t="s">
        <v>26</v>
      </c>
      <c r="E599" s="18" t="s">
        <v>32</v>
      </c>
      <c r="F599" s="18">
        <v>4</v>
      </c>
      <c r="G599" s="39">
        <v>7609</v>
      </c>
      <c r="H599" s="39">
        <v>30436</v>
      </c>
      <c r="I599" s="18" t="s">
        <v>28</v>
      </c>
    </row>
    <row r="600" spans="1:9" x14ac:dyDescent="0.3">
      <c r="A600" s="18" t="s">
        <v>644</v>
      </c>
      <c r="B600" s="38">
        <v>46303</v>
      </c>
      <c r="C600" s="18" t="s">
        <v>25</v>
      </c>
      <c r="D600" s="18" t="s">
        <v>26</v>
      </c>
      <c r="E600" s="18" t="s">
        <v>32</v>
      </c>
      <c r="F600" s="18">
        <v>2</v>
      </c>
      <c r="G600" s="39">
        <v>3361</v>
      </c>
      <c r="H600" s="39">
        <v>6722</v>
      </c>
      <c r="I600" s="18" t="s">
        <v>33</v>
      </c>
    </row>
    <row r="601" spans="1:9" x14ac:dyDescent="0.3">
      <c r="A601" s="18" t="s">
        <v>645</v>
      </c>
      <c r="B601" s="38">
        <v>46305</v>
      </c>
      <c r="C601" s="18" t="s">
        <v>25</v>
      </c>
      <c r="D601" s="18" t="s">
        <v>31</v>
      </c>
      <c r="E601" s="18" t="s">
        <v>49</v>
      </c>
      <c r="F601" s="18">
        <v>8</v>
      </c>
      <c r="G601" s="39">
        <v>2243</v>
      </c>
      <c r="H601" s="39">
        <v>17944</v>
      </c>
      <c r="I601" s="18" t="s">
        <v>33</v>
      </c>
    </row>
  </sheetData>
  <autoFilter ref="A1:I601" xr:uid="{00000000-0009-0000-0000-000001000000}"/>
  <conditionalFormatting sqref="A1:A1048576">
    <cfRule type="duplicateValues" dxfId="0" priority="1"/>
  </conditionalFormatting>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3388-BBB4-49FA-931F-3EB218D2A2BF}">
  <dimension ref="A3:J23"/>
  <sheetViews>
    <sheetView workbookViewId="0">
      <selection activeCell="D5" sqref="D5"/>
    </sheetView>
  </sheetViews>
  <sheetFormatPr defaultRowHeight="14.4" x14ac:dyDescent="0.3"/>
  <cols>
    <col min="1" max="1" width="21.5546875" bestFit="1" customWidth="1"/>
    <col min="2" max="2" width="15.5546875" style="17" bestFit="1" customWidth="1"/>
    <col min="3" max="6" width="13.21875" style="17" bestFit="1" customWidth="1"/>
    <col min="7" max="7" width="14.77734375" style="17" bestFit="1" customWidth="1"/>
    <col min="8" max="10" width="8.88671875" style="17"/>
  </cols>
  <sheetData>
    <row r="3" spans="1:7" x14ac:dyDescent="0.3">
      <c r="A3" s="20" t="s">
        <v>664</v>
      </c>
      <c r="B3" s="22" t="s">
        <v>665</v>
      </c>
    </row>
    <row r="4" spans="1:7" x14ac:dyDescent="0.3">
      <c r="A4" s="20" t="s">
        <v>662</v>
      </c>
      <c r="B4" s="17" t="s">
        <v>31</v>
      </c>
      <c r="C4" s="17" t="s">
        <v>26</v>
      </c>
      <c r="D4" t="s">
        <v>36</v>
      </c>
      <c r="E4" t="s">
        <v>38</v>
      </c>
      <c r="F4" t="s">
        <v>41</v>
      </c>
      <c r="G4" t="s">
        <v>663</v>
      </c>
    </row>
    <row r="5" spans="1:7" x14ac:dyDescent="0.3">
      <c r="A5" s="21" t="s">
        <v>668</v>
      </c>
      <c r="B5" s="17">
        <v>1171180</v>
      </c>
      <c r="C5" s="17">
        <v>2307453</v>
      </c>
      <c r="D5" s="17">
        <v>2121255</v>
      </c>
      <c r="E5" s="17">
        <v>1021308</v>
      </c>
      <c r="F5" s="17">
        <v>2840343</v>
      </c>
      <c r="G5" s="17">
        <v>9461539</v>
      </c>
    </row>
    <row r="6" spans="1:7" x14ac:dyDescent="0.3">
      <c r="A6" s="21" t="s">
        <v>669</v>
      </c>
      <c r="B6" s="17">
        <v>2224613</v>
      </c>
      <c r="C6" s="17">
        <v>2179345</v>
      </c>
      <c r="D6" s="17">
        <v>1678941</v>
      </c>
      <c r="E6" s="17">
        <v>2379465</v>
      </c>
      <c r="F6" s="17">
        <v>2536030</v>
      </c>
      <c r="G6" s="17">
        <v>10998394</v>
      </c>
    </row>
    <row r="7" spans="1:7" x14ac:dyDescent="0.3">
      <c r="A7" s="21" t="s">
        <v>670</v>
      </c>
      <c r="B7" s="17">
        <v>937113</v>
      </c>
      <c r="C7" s="17">
        <v>1073098</v>
      </c>
      <c r="D7" s="17">
        <v>1188759</v>
      </c>
      <c r="E7" s="17">
        <v>1581283</v>
      </c>
      <c r="F7" s="17">
        <v>1484049</v>
      </c>
      <c r="G7" s="17">
        <v>6264302</v>
      </c>
    </row>
    <row r="8" spans="1:7" x14ac:dyDescent="0.3">
      <c r="A8" s="21" t="s">
        <v>663</v>
      </c>
      <c r="B8" s="17">
        <v>4332906</v>
      </c>
      <c r="C8" s="17">
        <v>5559896</v>
      </c>
      <c r="D8" s="17">
        <v>4988955</v>
      </c>
      <c r="E8" s="17">
        <v>4982056</v>
      </c>
      <c r="F8" s="17">
        <v>6860422</v>
      </c>
      <c r="G8" s="17">
        <v>26724235</v>
      </c>
    </row>
    <row r="9" spans="1:7" x14ac:dyDescent="0.3">
      <c r="B9"/>
      <c r="C9"/>
      <c r="D9"/>
      <c r="E9"/>
      <c r="F9"/>
      <c r="G9"/>
    </row>
    <row r="10" spans="1:7" x14ac:dyDescent="0.3">
      <c r="B10"/>
      <c r="C10"/>
      <c r="D10"/>
      <c r="E10"/>
      <c r="F10"/>
      <c r="G10"/>
    </row>
    <row r="11" spans="1:7" x14ac:dyDescent="0.3">
      <c r="B11"/>
      <c r="C11"/>
      <c r="D11"/>
      <c r="E11"/>
      <c r="F11"/>
      <c r="G11"/>
    </row>
    <row r="12" spans="1:7" x14ac:dyDescent="0.3">
      <c r="B12"/>
      <c r="C12"/>
      <c r="D12"/>
      <c r="E12"/>
      <c r="F12"/>
      <c r="G12"/>
    </row>
    <row r="13" spans="1:7" x14ac:dyDescent="0.3">
      <c r="B13"/>
      <c r="C13"/>
      <c r="D13"/>
      <c r="E13"/>
      <c r="F13"/>
      <c r="G13"/>
    </row>
    <row r="14" spans="1:7" x14ac:dyDescent="0.3">
      <c r="B14"/>
      <c r="C14"/>
      <c r="D14"/>
      <c r="E14"/>
      <c r="F14"/>
      <c r="G14"/>
    </row>
    <row r="15" spans="1:7" x14ac:dyDescent="0.3">
      <c r="B15"/>
      <c r="C15"/>
      <c r="D15"/>
      <c r="E15"/>
      <c r="F15"/>
      <c r="G15"/>
    </row>
    <row r="16" spans="1:7" x14ac:dyDescent="0.3">
      <c r="B16"/>
      <c r="C16"/>
      <c r="D16"/>
      <c r="E16"/>
      <c r="F16"/>
      <c r="G16"/>
    </row>
    <row r="17" spans="2:7" x14ac:dyDescent="0.3">
      <c r="B17"/>
      <c r="C17"/>
      <c r="D17"/>
      <c r="E17"/>
      <c r="F17"/>
      <c r="G17"/>
    </row>
    <row r="18" spans="2:7" x14ac:dyDescent="0.3">
      <c r="B18"/>
      <c r="C18"/>
      <c r="D18"/>
      <c r="E18"/>
      <c r="F18"/>
      <c r="G18"/>
    </row>
    <row r="19" spans="2:7" x14ac:dyDescent="0.3">
      <c r="B19"/>
      <c r="C19"/>
      <c r="D19"/>
      <c r="E19"/>
      <c r="F19"/>
      <c r="G19"/>
    </row>
    <row r="20" spans="2:7" x14ac:dyDescent="0.3">
      <c r="B20"/>
      <c r="C20"/>
      <c r="D20"/>
      <c r="E20"/>
      <c r="F20"/>
      <c r="G20"/>
    </row>
    <row r="21" spans="2:7" x14ac:dyDescent="0.3">
      <c r="B21"/>
      <c r="C21"/>
      <c r="D21"/>
      <c r="E21"/>
      <c r="F21"/>
      <c r="G21"/>
    </row>
    <row r="22" spans="2:7" x14ac:dyDescent="0.3">
      <c r="B22"/>
      <c r="C22"/>
      <c r="D22"/>
      <c r="E22"/>
      <c r="F22"/>
      <c r="G22"/>
    </row>
    <row r="23" spans="2:7" x14ac:dyDescent="0.3">
      <c r="B23"/>
      <c r="C23"/>
      <c r="D23"/>
      <c r="E23"/>
      <c r="F23"/>
      <c r="G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51A3-0F7B-42F7-90CF-89336224BE42}">
  <dimension ref="A3:B9"/>
  <sheetViews>
    <sheetView workbookViewId="0">
      <selection activeCell="B5" sqref="B5"/>
    </sheetView>
  </sheetViews>
  <sheetFormatPr defaultRowHeight="14.4" x14ac:dyDescent="0.3"/>
  <cols>
    <col min="1" max="1" width="12.5546875" bestFit="1" customWidth="1"/>
    <col min="2" max="2" width="14.77734375" style="17" bestFit="1" customWidth="1"/>
  </cols>
  <sheetData>
    <row r="3" spans="1:2" x14ac:dyDescent="0.3">
      <c r="A3" s="20" t="s">
        <v>662</v>
      </c>
      <c r="B3" s="17" t="s">
        <v>664</v>
      </c>
    </row>
    <row r="4" spans="1:2" x14ac:dyDescent="0.3">
      <c r="A4" s="21" t="s">
        <v>31</v>
      </c>
      <c r="B4" s="17">
        <v>4332906</v>
      </c>
    </row>
    <row r="5" spans="1:2" x14ac:dyDescent="0.3">
      <c r="A5" s="21" t="s">
        <v>26</v>
      </c>
      <c r="B5" s="17">
        <v>5559896</v>
      </c>
    </row>
    <row r="6" spans="1:2" x14ac:dyDescent="0.3">
      <c r="A6" s="21" t="s">
        <v>36</v>
      </c>
      <c r="B6" s="17">
        <v>4988955</v>
      </c>
    </row>
    <row r="7" spans="1:2" x14ac:dyDescent="0.3">
      <c r="A7" s="21" t="s">
        <v>38</v>
      </c>
      <c r="B7" s="17">
        <v>4982056</v>
      </c>
    </row>
    <row r="8" spans="1:2" x14ac:dyDescent="0.3">
      <c r="A8" s="21" t="s">
        <v>41</v>
      </c>
      <c r="B8" s="17">
        <v>6860422</v>
      </c>
    </row>
    <row r="9" spans="1:2" x14ac:dyDescent="0.3">
      <c r="A9" s="21" t="s">
        <v>663</v>
      </c>
      <c r="B9" s="17">
        <v>26724235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EA1B5-5DC1-4E69-BA71-075D2143A418}">
  <dimension ref="A3:B9"/>
  <sheetViews>
    <sheetView workbookViewId="0">
      <selection activeCell="A6" sqref="A6"/>
    </sheetView>
  </sheetViews>
  <sheetFormatPr defaultRowHeight="14.4" x14ac:dyDescent="0.3"/>
  <cols>
    <col min="1" max="1" width="14.21875" bestFit="1" customWidth="1"/>
    <col min="2" max="2" width="14.77734375" style="17" bestFit="1" customWidth="1"/>
  </cols>
  <sheetData>
    <row r="3" spans="1:2" x14ac:dyDescent="0.3">
      <c r="A3" s="20" t="s">
        <v>662</v>
      </c>
      <c r="B3" s="17" t="s">
        <v>664</v>
      </c>
    </row>
    <row r="4" spans="1:2" x14ac:dyDescent="0.3">
      <c r="A4" s="21" t="s">
        <v>42</v>
      </c>
      <c r="B4" s="17">
        <v>1395739</v>
      </c>
    </row>
    <row r="5" spans="1:2" x14ac:dyDescent="0.3">
      <c r="A5" s="21" t="s">
        <v>49</v>
      </c>
      <c r="B5" s="17">
        <v>966830</v>
      </c>
    </row>
    <row r="6" spans="1:2" x14ac:dyDescent="0.3">
      <c r="A6" s="21" t="s">
        <v>46</v>
      </c>
      <c r="B6" s="17">
        <v>12035348</v>
      </c>
    </row>
    <row r="7" spans="1:2" x14ac:dyDescent="0.3">
      <c r="A7" s="21" t="s">
        <v>27</v>
      </c>
      <c r="B7" s="17">
        <v>10084425</v>
      </c>
    </row>
    <row r="8" spans="1:2" x14ac:dyDescent="0.3">
      <c r="A8" s="21" t="s">
        <v>32</v>
      </c>
      <c r="B8" s="17">
        <v>2241893</v>
      </c>
    </row>
    <row r="9" spans="1:2" x14ac:dyDescent="0.3">
      <c r="A9" s="21" t="s">
        <v>663</v>
      </c>
      <c r="B9" s="17">
        <v>26724235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81358-90ED-4923-B392-73A5CCA18E33}">
  <sheetPr>
    <pageSetUpPr fitToPage="1"/>
  </sheetPr>
  <dimension ref="A1:H7"/>
  <sheetViews>
    <sheetView showGridLines="0" showRuler="0" zoomScale="78" zoomScaleNormal="78" workbookViewId="0">
      <selection activeCell="H22" sqref="H22"/>
    </sheetView>
  </sheetViews>
  <sheetFormatPr defaultRowHeight="14.4" x14ac:dyDescent="0.3"/>
  <cols>
    <col min="1" max="1" width="23.109375" style="17" customWidth="1"/>
    <col min="3" max="3" width="23.5546875" style="23" customWidth="1"/>
    <col min="5" max="5" width="23.33203125" customWidth="1"/>
    <col min="7" max="7" width="22.88671875" customWidth="1"/>
    <col min="8" max="8" width="15" customWidth="1"/>
  </cols>
  <sheetData>
    <row r="1" spans="1:8" ht="21" x14ac:dyDescent="0.4">
      <c r="A1" s="42" t="s">
        <v>666</v>
      </c>
      <c r="B1" s="42"/>
      <c r="C1" s="42"/>
      <c r="D1" s="42"/>
      <c r="E1" s="42"/>
      <c r="F1" s="42"/>
      <c r="G1" s="42"/>
      <c r="H1" s="42"/>
    </row>
    <row r="3" spans="1:8" x14ac:dyDescent="0.3">
      <c r="A3" s="30" t="s">
        <v>647</v>
      </c>
      <c r="C3" s="31" t="s">
        <v>649</v>
      </c>
      <c r="E3" s="32" t="s">
        <v>678</v>
      </c>
      <c r="G3" s="32" t="s">
        <v>651</v>
      </c>
    </row>
    <row r="4" spans="1:8" x14ac:dyDescent="0.3">
      <c r="A4" s="35">
        <f>SUM(CleanedSalesTable[Sales])</f>
        <v>26724235</v>
      </c>
      <c r="C4" s="34">
        <f>COUNTA(CleanedSalesTable[Order_ID])</f>
        <v>600</v>
      </c>
      <c r="E4" s="33">
        <f>IFERROR(Daily_MIS!B2/Daily_MIS!B5,0)</f>
        <v>8.9202266666666663</v>
      </c>
      <c r="G4" s="34">
        <f>COUNTIF(Cleaned_Data!I:I,"Pending")</f>
        <v>93</v>
      </c>
    </row>
    <row r="7" spans="1:8" x14ac:dyDescent="0.3">
      <c r="A7" s="17" t="s">
        <v>667</v>
      </c>
    </row>
  </sheetData>
  <mergeCells count="1">
    <mergeCell ref="A1:H1"/>
  </mergeCells>
  <pageMargins left="0.25" right="0.25" top="0.75" bottom="0.75" header="0.3" footer="0.3"/>
  <pageSetup scale="53"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01"/>
  <sheetViews>
    <sheetView showGridLines="0" workbookViewId="0">
      <pane ySplit="1" topLeftCell="A2" activePane="bottomLeft" state="frozen"/>
      <selection pane="bottomLeft" activeCell="F15" sqref="F15"/>
    </sheetView>
  </sheetViews>
  <sheetFormatPr defaultRowHeight="14.4" x14ac:dyDescent="0.3"/>
  <cols>
    <col min="1" max="1" width="15" customWidth="1"/>
    <col min="2" max="2" width="15" style="9" customWidth="1"/>
    <col min="3" max="3" width="22" customWidth="1"/>
    <col min="4" max="4" width="14" customWidth="1"/>
    <col min="5" max="5" width="20" customWidth="1"/>
    <col min="6" max="6" width="12" customWidth="1"/>
    <col min="7" max="7" width="15" customWidth="1"/>
    <col min="8" max="9" width="16" customWidth="1"/>
  </cols>
  <sheetData>
    <row r="1" spans="1:9" x14ac:dyDescent="0.3">
      <c r="A1" s="5" t="s">
        <v>15</v>
      </c>
      <c r="B1" s="8" t="s">
        <v>16</v>
      </c>
      <c r="C1" s="5" t="s">
        <v>17</v>
      </c>
      <c r="D1" s="5" t="s">
        <v>18</v>
      </c>
      <c r="E1" s="5" t="s">
        <v>19</v>
      </c>
      <c r="F1" s="5" t="s">
        <v>20</v>
      </c>
      <c r="G1" s="5" t="s">
        <v>21</v>
      </c>
      <c r="H1" s="5" t="s">
        <v>22</v>
      </c>
      <c r="I1" s="5" t="s">
        <v>23</v>
      </c>
    </row>
    <row r="2" spans="1:9" x14ac:dyDescent="0.3">
      <c r="A2" t="s">
        <v>24</v>
      </c>
      <c r="B2" s="9">
        <v>46299</v>
      </c>
      <c r="C2" t="s">
        <v>25</v>
      </c>
      <c r="D2" t="s">
        <v>26</v>
      </c>
      <c r="E2" t="s">
        <v>27</v>
      </c>
      <c r="F2">
        <v>4</v>
      </c>
      <c r="G2" s="4">
        <v>7072</v>
      </c>
      <c r="H2" s="4">
        <f t="shared" ref="H2:H65" si="0">F2*G2</f>
        <v>28288</v>
      </c>
      <c r="I2" t="s">
        <v>33</v>
      </c>
    </row>
    <row r="3" spans="1:9" x14ac:dyDescent="0.3">
      <c r="A3" t="s">
        <v>29</v>
      </c>
      <c r="B3" s="9">
        <v>46313</v>
      </c>
      <c r="C3" t="s">
        <v>30</v>
      </c>
      <c r="D3" t="s">
        <v>31</v>
      </c>
      <c r="E3" t="s">
        <v>32</v>
      </c>
      <c r="F3">
        <v>1</v>
      </c>
      <c r="G3" s="4">
        <v>444</v>
      </c>
      <c r="H3" s="4">
        <f t="shared" si="0"/>
        <v>444</v>
      </c>
      <c r="I3" t="s">
        <v>33</v>
      </c>
    </row>
    <row r="4" spans="1:9" x14ac:dyDescent="0.3">
      <c r="A4" t="s">
        <v>34</v>
      </c>
      <c r="B4" s="9">
        <v>46303</v>
      </c>
      <c r="C4" t="s">
        <v>25</v>
      </c>
      <c r="D4" t="s">
        <v>31</v>
      </c>
      <c r="E4" t="s">
        <v>27</v>
      </c>
      <c r="F4">
        <v>7</v>
      </c>
      <c r="G4" s="4">
        <v>9723</v>
      </c>
      <c r="H4" s="4">
        <f t="shared" si="0"/>
        <v>68061</v>
      </c>
      <c r="I4" t="s">
        <v>33</v>
      </c>
    </row>
    <row r="5" spans="1:9" x14ac:dyDescent="0.3">
      <c r="A5" t="s">
        <v>35</v>
      </c>
      <c r="B5" s="9">
        <v>46304</v>
      </c>
      <c r="C5" t="s">
        <v>25</v>
      </c>
      <c r="D5" t="s">
        <v>36</v>
      </c>
      <c r="E5" t="s">
        <v>32</v>
      </c>
      <c r="F5">
        <v>6</v>
      </c>
      <c r="G5" s="4">
        <v>2476</v>
      </c>
      <c r="H5" s="4">
        <f t="shared" si="0"/>
        <v>14856</v>
      </c>
      <c r="I5" t="s">
        <v>33</v>
      </c>
    </row>
    <row r="6" spans="1:9" x14ac:dyDescent="0.3">
      <c r="A6" t="s">
        <v>37</v>
      </c>
      <c r="B6" s="9">
        <v>46306</v>
      </c>
      <c r="C6" t="s">
        <v>30</v>
      </c>
      <c r="D6" t="s">
        <v>38</v>
      </c>
      <c r="E6" t="s">
        <v>32</v>
      </c>
      <c r="F6">
        <v>2</v>
      </c>
      <c r="G6" s="4">
        <v>3140</v>
      </c>
      <c r="H6" s="4">
        <f t="shared" si="0"/>
        <v>6280</v>
      </c>
      <c r="I6" t="s">
        <v>39</v>
      </c>
    </row>
    <row r="7" spans="1:9" x14ac:dyDescent="0.3">
      <c r="A7" t="s">
        <v>40</v>
      </c>
      <c r="B7" s="9">
        <v>46304</v>
      </c>
      <c r="C7" t="s">
        <v>25</v>
      </c>
      <c r="D7" t="s">
        <v>41</v>
      </c>
      <c r="E7" t="s">
        <v>42</v>
      </c>
      <c r="F7">
        <v>2</v>
      </c>
      <c r="G7" s="4">
        <v>3200</v>
      </c>
      <c r="H7" s="4">
        <f t="shared" si="0"/>
        <v>6400</v>
      </c>
      <c r="I7" t="s">
        <v>33</v>
      </c>
    </row>
    <row r="8" spans="1:9" x14ac:dyDescent="0.3">
      <c r="A8" t="s">
        <v>43</v>
      </c>
      <c r="B8" s="9">
        <v>46305</v>
      </c>
      <c r="C8" t="s">
        <v>44</v>
      </c>
      <c r="D8" t="s">
        <v>31</v>
      </c>
      <c r="E8" t="s">
        <v>27</v>
      </c>
      <c r="F8">
        <v>2</v>
      </c>
      <c r="G8" s="4">
        <v>4001</v>
      </c>
      <c r="H8" s="4">
        <f t="shared" si="0"/>
        <v>8002</v>
      </c>
      <c r="I8" t="s">
        <v>33</v>
      </c>
    </row>
    <row r="9" spans="1:9" x14ac:dyDescent="0.3">
      <c r="A9" t="s">
        <v>45</v>
      </c>
      <c r="B9" s="9">
        <v>46305</v>
      </c>
      <c r="C9" t="s">
        <v>30</v>
      </c>
      <c r="D9" t="s">
        <v>36</v>
      </c>
      <c r="E9" t="s">
        <v>46</v>
      </c>
      <c r="F9">
        <v>7</v>
      </c>
      <c r="G9" s="4">
        <v>19417</v>
      </c>
      <c r="H9" s="4">
        <f t="shared" si="0"/>
        <v>135919</v>
      </c>
      <c r="I9" t="s">
        <v>33</v>
      </c>
    </row>
    <row r="10" spans="1:9" x14ac:dyDescent="0.3">
      <c r="A10" t="s">
        <v>47</v>
      </c>
      <c r="B10" s="9">
        <v>46307</v>
      </c>
      <c r="C10" t="s">
        <v>48</v>
      </c>
      <c r="D10" t="s">
        <v>26</v>
      </c>
      <c r="E10" t="s">
        <v>49</v>
      </c>
      <c r="F10">
        <v>4</v>
      </c>
      <c r="G10" s="4">
        <v>2995</v>
      </c>
      <c r="H10" s="4">
        <f t="shared" si="0"/>
        <v>11980</v>
      </c>
      <c r="I10" t="s">
        <v>33</v>
      </c>
    </row>
    <row r="11" spans="1:9" x14ac:dyDescent="0.3">
      <c r="A11" t="s">
        <v>50</v>
      </c>
      <c r="B11" s="9">
        <v>46298</v>
      </c>
      <c r="C11" t="s">
        <v>48</v>
      </c>
      <c r="D11" t="s">
        <v>31</v>
      </c>
      <c r="E11" t="s">
        <v>27</v>
      </c>
      <c r="F11">
        <v>3</v>
      </c>
      <c r="G11" s="4">
        <v>17647</v>
      </c>
      <c r="H11" s="4">
        <f t="shared" si="0"/>
        <v>52941</v>
      </c>
      <c r="I11" t="s">
        <v>33</v>
      </c>
    </row>
    <row r="12" spans="1:9" x14ac:dyDescent="0.3">
      <c r="A12" t="s">
        <v>51</v>
      </c>
      <c r="B12" s="9">
        <v>46313</v>
      </c>
      <c r="C12" t="s">
        <v>52</v>
      </c>
      <c r="D12" t="s">
        <v>26</v>
      </c>
      <c r="E12" t="s">
        <v>46</v>
      </c>
      <c r="F12">
        <v>4</v>
      </c>
      <c r="G12" s="4">
        <v>3303</v>
      </c>
      <c r="H12" s="4">
        <f t="shared" si="0"/>
        <v>13212</v>
      </c>
      <c r="I12" t="s">
        <v>39</v>
      </c>
    </row>
    <row r="13" spans="1:9" x14ac:dyDescent="0.3">
      <c r="A13" t="s">
        <v>53</v>
      </c>
      <c r="B13" s="9">
        <v>46308</v>
      </c>
      <c r="C13" t="s">
        <v>54</v>
      </c>
      <c r="D13" t="s">
        <v>38</v>
      </c>
      <c r="E13" t="s">
        <v>27</v>
      </c>
      <c r="F13">
        <v>6</v>
      </c>
      <c r="G13" s="4">
        <v>9467</v>
      </c>
      <c r="H13" s="4">
        <f t="shared" si="0"/>
        <v>56802</v>
      </c>
      <c r="I13" t="s">
        <v>33</v>
      </c>
    </row>
    <row r="14" spans="1:9" x14ac:dyDescent="0.3">
      <c r="A14" t="s">
        <v>55</v>
      </c>
      <c r="B14" s="9">
        <v>46308</v>
      </c>
      <c r="C14" t="s">
        <v>56</v>
      </c>
      <c r="D14" t="s">
        <v>36</v>
      </c>
      <c r="E14" t="s">
        <v>49</v>
      </c>
      <c r="F14">
        <v>3</v>
      </c>
      <c r="G14" s="4">
        <v>1260</v>
      </c>
      <c r="H14" s="4">
        <f t="shared" si="0"/>
        <v>3780</v>
      </c>
      <c r="I14" t="s">
        <v>33</v>
      </c>
    </row>
    <row r="15" spans="1:9" x14ac:dyDescent="0.3">
      <c r="A15" t="s">
        <v>57</v>
      </c>
      <c r="B15" s="9">
        <v>46313</v>
      </c>
      <c r="C15" t="s">
        <v>54</v>
      </c>
      <c r="D15" t="s">
        <v>31</v>
      </c>
      <c r="E15" t="s">
        <v>32</v>
      </c>
      <c r="F15">
        <v>7</v>
      </c>
      <c r="G15" s="4">
        <v>3165</v>
      </c>
      <c r="H15" s="4">
        <f t="shared" si="0"/>
        <v>22155</v>
      </c>
      <c r="I15" t="s">
        <v>33</v>
      </c>
    </row>
    <row r="16" spans="1:9" x14ac:dyDescent="0.3">
      <c r="A16" t="s">
        <v>58</v>
      </c>
      <c r="B16" s="9">
        <v>46300</v>
      </c>
      <c r="C16" t="s">
        <v>56</v>
      </c>
      <c r="D16" t="s">
        <v>38</v>
      </c>
      <c r="E16" t="s">
        <v>46</v>
      </c>
      <c r="F16">
        <v>2</v>
      </c>
      <c r="G16" s="4">
        <v>11216</v>
      </c>
      <c r="H16" s="4">
        <f t="shared" si="0"/>
        <v>22432</v>
      </c>
      <c r="I16" t="s">
        <v>28</v>
      </c>
    </row>
    <row r="17" spans="1:9" x14ac:dyDescent="0.3">
      <c r="A17" t="s">
        <v>59</v>
      </c>
      <c r="B17" s="9">
        <v>46309</v>
      </c>
      <c r="C17" t="s">
        <v>30</v>
      </c>
      <c r="D17" t="s">
        <v>41</v>
      </c>
      <c r="E17" t="s">
        <v>32</v>
      </c>
      <c r="F17">
        <v>8</v>
      </c>
      <c r="G17" s="4">
        <v>4534</v>
      </c>
      <c r="H17" s="4">
        <f t="shared" si="0"/>
        <v>36272</v>
      </c>
      <c r="I17" t="s">
        <v>33</v>
      </c>
    </row>
    <row r="18" spans="1:9" x14ac:dyDescent="0.3">
      <c r="A18" t="s">
        <v>60</v>
      </c>
      <c r="B18" s="9">
        <v>46313</v>
      </c>
      <c r="C18" t="s">
        <v>25</v>
      </c>
      <c r="D18" t="s">
        <v>38</v>
      </c>
      <c r="E18" t="s">
        <v>42</v>
      </c>
      <c r="F18">
        <v>5</v>
      </c>
      <c r="G18" s="4">
        <v>5350</v>
      </c>
      <c r="H18" s="4">
        <f t="shared" si="0"/>
        <v>26750</v>
      </c>
      <c r="I18" t="s">
        <v>33</v>
      </c>
    </row>
    <row r="19" spans="1:9" x14ac:dyDescent="0.3">
      <c r="A19" t="s">
        <v>61</v>
      </c>
      <c r="B19" s="9">
        <v>46305</v>
      </c>
      <c r="C19" t="s">
        <v>62</v>
      </c>
      <c r="D19" t="s">
        <v>36</v>
      </c>
      <c r="E19" t="s">
        <v>32</v>
      </c>
      <c r="F19">
        <v>1</v>
      </c>
      <c r="G19" s="4">
        <v>6115</v>
      </c>
      <c r="H19" s="4">
        <f t="shared" si="0"/>
        <v>6115</v>
      </c>
      <c r="I19" t="s">
        <v>39</v>
      </c>
    </row>
    <row r="20" spans="1:9" x14ac:dyDescent="0.3">
      <c r="A20" t="s">
        <v>63</v>
      </c>
      <c r="B20" s="9">
        <v>46304</v>
      </c>
      <c r="C20" t="s">
        <v>48</v>
      </c>
      <c r="D20" t="s">
        <v>31</v>
      </c>
      <c r="E20" t="s">
        <v>46</v>
      </c>
      <c r="F20">
        <v>5</v>
      </c>
      <c r="G20" s="4">
        <v>43074</v>
      </c>
      <c r="H20" s="4">
        <f t="shared" si="0"/>
        <v>215370</v>
      </c>
      <c r="I20" t="s">
        <v>33</v>
      </c>
    </row>
    <row r="21" spans="1:9" x14ac:dyDescent="0.3">
      <c r="A21" t="s">
        <v>64</v>
      </c>
      <c r="B21" s="9">
        <v>46302</v>
      </c>
      <c r="C21" t="s">
        <v>48</v>
      </c>
      <c r="D21" t="s">
        <v>26</v>
      </c>
      <c r="E21" t="s">
        <v>27</v>
      </c>
      <c r="F21">
        <v>1</v>
      </c>
      <c r="G21" s="4">
        <v>22126</v>
      </c>
      <c r="H21" s="4">
        <f t="shared" si="0"/>
        <v>22126</v>
      </c>
      <c r="I21" t="s">
        <v>33</v>
      </c>
    </row>
    <row r="22" spans="1:9" x14ac:dyDescent="0.3">
      <c r="A22" t="s">
        <v>65</v>
      </c>
      <c r="B22" s="9">
        <v>46296</v>
      </c>
      <c r="C22" t="s">
        <v>30</v>
      </c>
      <c r="D22" t="s">
        <v>26</v>
      </c>
      <c r="E22" t="s">
        <v>49</v>
      </c>
      <c r="F22">
        <v>4</v>
      </c>
      <c r="G22" s="4">
        <v>487</v>
      </c>
      <c r="H22" s="4">
        <f t="shared" si="0"/>
        <v>1948</v>
      </c>
      <c r="I22" t="s">
        <v>33</v>
      </c>
    </row>
    <row r="23" spans="1:9" x14ac:dyDescent="0.3">
      <c r="A23" t="s">
        <v>66</v>
      </c>
      <c r="B23" s="9">
        <v>46298</v>
      </c>
      <c r="C23" t="s">
        <v>30</v>
      </c>
      <c r="D23" t="s">
        <v>41</v>
      </c>
      <c r="E23" t="s">
        <v>46</v>
      </c>
      <c r="F23">
        <v>3</v>
      </c>
      <c r="G23" s="4">
        <v>9614</v>
      </c>
      <c r="H23" s="4">
        <f t="shared" si="0"/>
        <v>28842</v>
      </c>
      <c r="I23" t="s">
        <v>28</v>
      </c>
    </row>
    <row r="24" spans="1:9" x14ac:dyDescent="0.3">
      <c r="A24" t="s">
        <v>67</v>
      </c>
      <c r="B24" s="9">
        <v>46313</v>
      </c>
      <c r="C24" t="s">
        <v>48</v>
      </c>
      <c r="D24" t="s">
        <v>26</v>
      </c>
      <c r="E24" t="s">
        <v>42</v>
      </c>
      <c r="F24">
        <v>7</v>
      </c>
      <c r="G24" s="4">
        <v>1835</v>
      </c>
      <c r="H24" s="4">
        <f t="shared" si="0"/>
        <v>12845</v>
      </c>
      <c r="I24" t="s">
        <v>39</v>
      </c>
    </row>
    <row r="25" spans="1:9" x14ac:dyDescent="0.3">
      <c r="A25" t="s">
        <v>68</v>
      </c>
      <c r="B25" s="9">
        <v>46302</v>
      </c>
      <c r="C25" t="s">
        <v>54</v>
      </c>
      <c r="D25" t="s">
        <v>41</v>
      </c>
      <c r="E25" t="s">
        <v>49</v>
      </c>
      <c r="F25">
        <v>8</v>
      </c>
      <c r="G25" s="4">
        <v>2369</v>
      </c>
      <c r="H25" s="4">
        <f t="shared" si="0"/>
        <v>18952</v>
      </c>
      <c r="I25" t="s">
        <v>33</v>
      </c>
    </row>
    <row r="26" spans="1:9" x14ac:dyDescent="0.3">
      <c r="A26" t="s">
        <v>69</v>
      </c>
      <c r="B26" s="9">
        <v>46303</v>
      </c>
      <c r="C26" t="s">
        <v>52</v>
      </c>
      <c r="D26" t="s">
        <v>38</v>
      </c>
      <c r="E26" t="s">
        <v>49</v>
      </c>
      <c r="F26">
        <v>1</v>
      </c>
      <c r="G26" s="4">
        <v>2659</v>
      </c>
      <c r="H26" s="4">
        <f t="shared" si="0"/>
        <v>2659</v>
      </c>
      <c r="I26" t="s">
        <v>33</v>
      </c>
    </row>
    <row r="27" spans="1:9" x14ac:dyDescent="0.3">
      <c r="A27" t="s">
        <v>70</v>
      </c>
      <c r="B27" s="9">
        <v>46303</v>
      </c>
      <c r="C27" t="s">
        <v>25</v>
      </c>
      <c r="D27" t="s">
        <v>38</v>
      </c>
      <c r="E27" t="s">
        <v>46</v>
      </c>
      <c r="F27">
        <v>4</v>
      </c>
      <c r="G27" s="4">
        <v>5617</v>
      </c>
      <c r="H27" s="4">
        <f t="shared" si="0"/>
        <v>22468</v>
      </c>
      <c r="I27" t="s">
        <v>39</v>
      </c>
    </row>
    <row r="28" spans="1:9" x14ac:dyDescent="0.3">
      <c r="A28" t="s">
        <v>71</v>
      </c>
      <c r="B28" s="9">
        <v>46306</v>
      </c>
      <c r="C28" t="s">
        <v>30</v>
      </c>
      <c r="D28" t="s">
        <v>31</v>
      </c>
      <c r="E28" t="s">
        <v>27</v>
      </c>
      <c r="F28">
        <v>5</v>
      </c>
      <c r="G28" s="4">
        <v>24421</v>
      </c>
      <c r="H28" s="4">
        <f t="shared" si="0"/>
        <v>122105</v>
      </c>
      <c r="I28" t="s">
        <v>33</v>
      </c>
    </row>
    <row r="29" spans="1:9" x14ac:dyDescent="0.3">
      <c r="A29" t="s">
        <v>72</v>
      </c>
      <c r="B29" s="9">
        <v>46313</v>
      </c>
      <c r="C29" t="s">
        <v>48</v>
      </c>
      <c r="D29" t="s">
        <v>31</v>
      </c>
      <c r="E29" t="s">
        <v>42</v>
      </c>
      <c r="F29">
        <v>8</v>
      </c>
      <c r="G29" s="4">
        <v>2090</v>
      </c>
      <c r="H29" s="4">
        <f t="shared" si="0"/>
        <v>16720</v>
      </c>
      <c r="I29" t="s">
        <v>39</v>
      </c>
    </row>
    <row r="30" spans="1:9" x14ac:dyDescent="0.3">
      <c r="A30" t="s">
        <v>73</v>
      </c>
      <c r="B30" s="9">
        <v>46309</v>
      </c>
      <c r="C30" t="s">
        <v>52</v>
      </c>
      <c r="D30" t="s">
        <v>38</v>
      </c>
      <c r="E30" t="s">
        <v>46</v>
      </c>
      <c r="F30">
        <v>7</v>
      </c>
      <c r="G30" s="4">
        <v>24419</v>
      </c>
      <c r="H30" s="4">
        <f t="shared" si="0"/>
        <v>170933</v>
      </c>
      <c r="I30" t="s">
        <v>33</v>
      </c>
    </row>
    <row r="31" spans="1:9" x14ac:dyDescent="0.3">
      <c r="A31" t="s">
        <v>74</v>
      </c>
      <c r="B31" s="9">
        <v>46310</v>
      </c>
      <c r="C31" t="s">
        <v>25</v>
      </c>
      <c r="D31" t="s">
        <v>38</v>
      </c>
      <c r="E31" t="s">
        <v>46</v>
      </c>
      <c r="F31">
        <v>7</v>
      </c>
      <c r="G31" s="4">
        <v>23436</v>
      </c>
      <c r="H31" s="4">
        <f t="shared" si="0"/>
        <v>164052</v>
      </c>
      <c r="I31" t="s">
        <v>39</v>
      </c>
    </row>
    <row r="32" spans="1:9" x14ac:dyDescent="0.3">
      <c r="A32" t="s">
        <v>75</v>
      </c>
      <c r="B32" s="9">
        <v>46299</v>
      </c>
      <c r="C32" t="s">
        <v>52</v>
      </c>
      <c r="D32" t="s">
        <v>36</v>
      </c>
      <c r="E32" t="s">
        <v>27</v>
      </c>
      <c r="F32">
        <v>8</v>
      </c>
      <c r="G32" s="4">
        <v>7093</v>
      </c>
      <c r="H32" s="4">
        <f t="shared" si="0"/>
        <v>56744</v>
      </c>
      <c r="I32" t="s">
        <v>33</v>
      </c>
    </row>
    <row r="33" spans="1:9" x14ac:dyDescent="0.3">
      <c r="A33" t="s">
        <v>76</v>
      </c>
      <c r="B33" s="9">
        <v>46304</v>
      </c>
      <c r="C33" t="s">
        <v>56</v>
      </c>
      <c r="D33" t="s">
        <v>36</v>
      </c>
      <c r="E33" t="s">
        <v>46</v>
      </c>
      <c r="F33">
        <v>8</v>
      </c>
      <c r="G33" s="4">
        <v>37266</v>
      </c>
      <c r="H33" s="4">
        <f t="shared" si="0"/>
        <v>298128</v>
      </c>
      <c r="I33" t="s">
        <v>33</v>
      </c>
    </row>
    <row r="34" spans="1:9" x14ac:dyDescent="0.3">
      <c r="A34" t="s">
        <v>77</v>
      </c>
      <c r="B34" s="9">
        <v>46313</v>
      </c>
      <c r="C34" t="s">
        <v>25</v>
      </c>
      <c r="D34" t="s">
        <v>38</v>
      </c>
      <c r="E34" t="s">
        <v>27</v>
      </c>
      <c r="F34">
        <v>3</v>
      </c>
      <c r="G34" s="4">
        <v>15817</v>
      </c>
      <c r="H34" s="4">
        <f t="shared" si="0"/>
        <v>47451</v>
      </c>
      <c r="I34" t="s">
        <v>33</v>
      </c>
    </row>
    <row r="35" spans="1:9" x14ac:dyDescent="0.3">
      <c r="A35" t="s">
        <v>78</v>
      </c>
      <c r="B35" s="9">
        <v>46302</v>
      </c>
      <c r="C35" t="s">
        <v>62</v>
      </c>
      <c r="D35" t="s">
        <v>38</v>
      </c>
      <c r="E35" t="s">
        <v>27</v>
      </c>
      <c r="F35">
        <v>7</v>
      </c>
      <c r="G35" s="4">
        <v>2570</v>
      </c>
      <c r="H35" s="4">
        <f t="shared" si="0"/>
        <v>17990</v>
      </c>
      <c r="I35" t="s">
        <v>79</v>
      </c>
    </row>
    <row r="36" spans="1:9" x14ac:dyDescent="0.3">
      <c r="A36" t="s">
        <v>80</v>
      </c>
      <c r="B36" s="9">
        <v>46304</v>
      </c>
      <c r="C36" t="s">
        <v>56</v>
      </c>
      <c r="D36" t="s">
        <v>26</v>
      </c>
      <c r="E36" t="s">
        <v>32</v>
      </c>
      <c r="F36">
        <v>8</v>
      </c>
      <c r="G36" s="4">
        <v>1468</v>
      </c>
      <c r="H36" s="4">
        <f t="shared" si="0"/>
        <v>11744</v>
      </c>
      <c r="I36" t="s">
        <v>33</v>
      </c>
    </row>
    <row r="37" spans="1:9" x14ac:dyDescent="0.3">
      <c r="A37" t="s">
        <v>81</v>
      </c>
      <c r="B37" s="9">
        <v>46302</v>
      </c>
      <c r="C37" t="s">
        <v>25</v>
      </c>
      <c r="D37" t="s">
        <v>31</v>
      </c>
      <c r="E37" t="s">
        <v>42</v>
      </c>
      <c r="F37">
        <v>1</v>
      </c>
      <c r="G37" s="4">
        <v>2669</v>
      </c>
      <c r="H37" s="4">
        <f t="shared" si="0"/>
        <v>2669</v>
      </c>
      <c r="I37" t="s">
        <v>33</v>
      </c>
    </row>
    <row r="38" spans="1:9" x14ac:dyDescent="0.3">
      <c r="A38" t="s">
        <v>82</v>
      </c>
      <c r="B38" s="9">
        <v>46311</v>
      </c>
      <c r="C38" t="s">
        <v>48</v>
      </c>
      <c r="D38" t="s">
        <v>38</v>
      </c>
      <c r="E38" t="s">
        <v>42</v>
      </c>
      <c r="F38">
        <v>2</v>
      </c>
      <c r="G38" s="4">
        <v>1622</v>
      </c>
      <c r="H38" s="4">
        <f t="shared" si="0"/>
        <v>3244</v>
      </c>
      <c r="I38" t="s">
        <v>33</v>
      </c>
    </row>
    <row r="39" spans="1:9" x14ac:dyDescent="0.3">
      <c r="A39" t="s">
        <v>83</v>
      </c>
      <c r="B39" s="9">
        <v>46298</v>
      </c>
      <c r="C39" t="s">
        <v>52</v>
      </c>
      <c r="D39" t="s">
        <v>41</v>
      </c>
      <c r="E39" t="s">
        <v>46</v>
      </c>
      <c r="F39">
        <v>4</v>
      </c>
      <c r="G39" s="4">
        <v>39140</v>
      </c>
      <c r="H39" s="4">
        <f t="shared" si="0"/>
        <v>156560</v>
      </c>
      <c r="I39" t="s">
        <v>33</v>
      </c>
    </row>
    <row r="40" spans="1:9" x14ac:dyDescent="0.3">
      <c r="A40" t="s">
        <v>84</v>
      </c>
      <c r="B40" s="9">
        <v>46298</v>
      </c>
      <c r="C40" t="s">
        <v>62</v>
      </c>
      <c r="D40" t="s">
        <v>31</v>
      </c>
      <c r="E40" t="s">
        <v>42</v>
      </c>
      <c r="F40">
        <v>6</v>
      </c>
      <c r="G40" s="4">
        <v>2236</v>
      </c>
      <c r="H40" s="4">
        <f t="shared" si="0"/>
        <v>13416</v>
      </c>
      <c r="I40" t="s">
        <v>33</v>
      </c>
    </row>
    <row r="41" spans="1:9" x14ac:dyDescent="0.3">
      <c r="A41" t="s">
        <v>85</v>
      </c>
      <c r="B41" s="9">
        <v>46306</v>
      </c>
      <c r="C41" t="s">
        <v>52</v>
      </c>
      <c r="D41" t="s">
        <v>26</v>
      </c>
      <c r="E41" t="s">
        <v>32</v>
      </c>
      <c r="F41">
        <v>3</v>
      </c>
      <c r="G41" s="4">
        <v>5702</v>
      </c>
      <c r="H41" s="4">
        <f t="shared" si="0"/>
        <v>17106</v>
      </c>
      <c r="I41" t="s">
        <v>28</v>
      </c>
    </row>
    <row r="42" spans="1:9" x14ac:dyDescent="0.3">
      <c r="A42" t="s">
        <v>86</v>
      </c>
      <c r="B42" s="9">
        <v>46310</v>
      </c>
      <c r="C42" t="s">
        <v>44</v>
      </c>
      <c r="D42" t="s">
        <v>38</v>
      </c>
      <c r="E42" t="s">
        <v>46</v>
      </c>
      <c r="F42">
        <v>8</v>
      </c>
      <c r="G42" s="4">
        <v>41908</v>
      </c>
      <c r="H42" s="4">
        <f t="shared" si="0"/>
        <v>335264</v>
      </c>
      <c r="I42" t="s">
        <v>79</v>
      </c>
    </row>
    <row r="43" spans="1:9" x14ac:dyDescent="0.3">
      <c r="A43" t="s">
        <v>87</v>
      </c>
      <c r="B43" s="9">
        <v>46299</v>
      </c>
      <c r="C43" t="s">
        <v>30</v>
      </c>
      <c r="D43" t="s">
        <v>31</v>
      </c>
      <c r="E43" t="s">
        <v>27</v>
      </c>
      <c r="F43">
        <v>5</v>
      </c>
      <c r="G43" s="4">
        <v>6840</v>
      </c>
      <c r="H43" s="4">
        <f t="shared" si="0"/>
        <v>34200</v>
      </c>
      <c r="I43" t="s">
        <v>39</v>
      </c>
    </row>
    <row r="44" spans="1:9" x14ac:dyDescent="0.3">
      <c r="A44" t="s">
        <v>88</v>
      </c>
      <c r="B44" s="9">
        <v>46298</v>
      </c>
      <c r="C44" t="s">
        <v>52</v>
      </c>
      <c r="D44" t="s">
        <v>26</v>
      </c>
      <c r="E44" t="s">
        <v>49</v>
      </c>
      <c r="F44">
        <v>3</v>
      </c>
      <c r="G44" s="4">
        <v>2044</v>
      </c>
      <c r="H44" s="4">
        <f t="shared" si="0"/>
        <v>6132</v>
      </c>
      <c r="I44" t="s">
        <v>39</v>
      </c>
    </row>
    <row r="45" spans="1:9" x14ac:dyDescent="0.3">
      <c r="A45" t="s">
        <v>89</v>
      </c>
      <c r="B45" s="9">
        <v>46305</v>
      </c>
      <c r="C45" t="s">
        <v>25</v>
      </c>
      <c r="D45" t="s">
        <v>31</v>
      </c>
      <c r="E45" t="s">
        <v>49</v>
      </c>
      <c r="F45">
        <v>2</v>
      </c>
      <c r="G45" s="4">
        <v>800</v>
      </c>
      <c r="H45" s="4">
        <f t="shared" si="0"/>
        <v>1600</v>
      </c>
      <c r="I45" t="s">
        <v>33</v>
      </c>
    </row>
    <row r="46" spans="1:9" x14ac:dyDescent="0.3">
      <c r="A46" t="s">
        <v>90</v>
      </c>
      <c r="B46" s="9">
        <v>46299</v>
      </c>
      <c r="C46" t="s">
        <v>48</v>
      </c>
      <c r="D46" t="s">
        <v>26</v>
      </c>
      <c r="E46" t="s">
        <v>49</v>
      </c>
      <c r="F46">
        <v>4</v>
      </c>
      <c r="G46" s="4">
        <v>3189</v>
      </c>
      <c r="H46" s="4">
        <f t="shared" si="0"/>
        <v>12756</v>
      </c>
      <c r="I46" t="s">
        <v>33</v>
      </c>
    </row>
    <row r="47" spans="1:9" x14ac:dyDescent="0.3">
      <c r="A47" t="s">
        <v>91</v>
      </c>
      <c r="B47" s="9">
        <v>46304</v>
      </c>
      <c r="C47" t="s">
        <v>56</v>
      </c>
      <c r="D47" t="s">
        <v>26</v>
      </c>
      <c r="E47" t="s">
        <v>46</v>
      </c>
      <c r="F47">
        <v>2</v>
      </c>
      <c r="G47" s="4">
        <v>42768</v>
      </c>
      <c r="H47" s="4">
        <f t="shared" si="0"/>
        <v>85536</v>
      </c>
      <c r="I47" t="s">
        <v>33</v>
      </c>
    </row>
    <row r="48" spans="1:9" x14ac:dyDescent="0.3">
      <c r="A48" t="s">
        <v>92</v>
      </c>
      <c r="B48" s="9">
        <v>46304</v>
      </c>
      <c r="C48" t="s">
        <v>25</v>
      </c>
      <c r="D48" t="s">
        <v>38</v>
      </c>
      <c r="E48" t="s">
        <v>49</v>
      </c>
      <c r="F48">
        <v>3</v>
      </c>
      <c r="G48" s="4">
        <v>2859</v>
      </c>
      <c r="H48" s="4">
        <f t="shared" si="0"/>
        <v>8577</v>
      </c>
      <c r="I48" t="s">
        <v>79</v>
      </c>
    </row>
    <row r="49" spans="1:9" x14ac:dyDescent="0.3">
      <c r="A49" t="s">
        <v>93</v>
      </c>
      <c r="B49" s="9">
        <v>46301</v>
      </c>
      <c r="C49" t="s">
        <v>56</v>
      </c>
      <c r="D49" t="s">
        <v>31</v>
      </c>
      <c r="E49" t="s">
        <v>32</v>
      </c>
      <c r="F49">
        <v>1</v>
      </c>
      <c r="G49" s="4">
        <v>1116</v>
      </c>
      <c r="H49" s="4">
        <f t="shared" si="0"/>
        <v>1116</v>
      </c>
      <c r="I49" t="s">
        <v>33</v>
      </c>
    </row>
    <row r="50" spans="1:9" x14ac:dyDescent="0.3">
      <c r="A50" t="s">
        <v>94</v>
      </c>
      <c r="B50" s="9">
        <v>46300</v>
      </c>
      <c r="C50" t="s">
        <v>25</v>
      </c>
      <c r="D50" t="s">
        <v>26</v>
      </c>
      <c r="E50" t="s">
        <v>42</v>
      </c>
      <c r="F50">
        <v>3</v>
      </c>
      <c r="G50" s="4">
        <v>3620</v>
      </c>
      <c r="H50" s="4">
        <f t="shared" si="0"/>
        <v>10860</v>
      </c>
      <c r="I50" t="s">
        <v>33</v>
      </c>
    </row>
    <row r="51" spans="1:9" x14ac:dyDescent="0.3">
      <c r="A51" t="s">
        <v>95</v>
      </c>
      <c r="B51" s="9">
        <v>46305</v>
      </c>
      <c r="C51" t="s">
        <v>44</v>
      </c>
      <c r="D51" t="s">
        <v>38</v>
      </c>
      <c r="E51" t="s">
        <v>49</v>
      </c>
      <c r="F51">
        <v>4</v>
      </c>
      <c r="G51" s="4">
        <v>3043</v>
      </c>
      <c r="H51" s="4">
        <f t="shared" si="0"/>
        <v>12172</v>
      </c>
      <c r="I51" t="s">
        <v>33</v>
      </c>
    </row>
    <row r="52" spans="1:9" x14ac:dyDescent="0.3">
      <c r="A52" t="s">
        <v>96</v>
      </c>
      <c r="B52" s="9">
        <v>46299</v>
      </c>
      <c r="C52" t="s">
        <v>44</v>
      </c>
      <c r="D52" t="s">
        <v>31</v>
      </c>
      <c r="E52" t="s">
        <v>32</v>
      </c>
      <c r="F52">
        <v>3</v>
      </c>
      <c r="G52" s="4">
        <v>7783</v>
      </c>
      <c r="H52" s="4">
        <f t="shared" si="0"/>
        <v>23349</v>
      </c>
      <c r="I52" t="s">
        <v>39</v>
      </c>
    </row>
    <row r="53" spans="1:9" x14ac:dyDescent="0.3">
      <c r="A53" t="s">
        <v>97</v>
      </c>
      <c r="B53" s="9">
        <v>46301</v>
      </c>
      <c r="C53" t="s">
        <v>48</v>
      </c>
      <c r="D53" t="s">
        <v>41</v>
      </c>
      <c r="E53" t="s">
        <v>46</v>
      </c>
      <c r="F53">
        <v>3</v>
      </c>
      <c r="G53" s="4">
        <v>22970</v>
      </c>
      <c r="H53" s="4">
        <f t="shared" si="0"/>
        <v>68910</v>
      </c>
      <c r="I53" t="s">
        <v>39</v>
      </c>
    </row>
    <row r="54" spans="1:9" x14ac:dyDescent="0.3">
      <c r="A54" t="s">
        <v>98</v>
      </c>
      <c r="B54" s="9">
        <v>46309</v>
      </c>
      <c r="C54" t="s">
        <v>52</v>
      </c>
      <c r="D54" t="s">
        <v>26</v>
      </c>
      <c r="E54" t="s">
        <v>27</v>
      </c>
      <c r="F54">
        <v>2</v>
      </c>
      <c r="G54" s="4">
        <v>15035</v>
      </c>
      <c r="H54" s="4">
        <f t="shared" si="0"/>
        <v>30070</v>
      </c>
      <c r="I54" t="s">
        <v>39</v>
      </c>
    </row>
    <row r="55" spans="1:9" x14ac:dyDescent="0.3">
      <c r="A55" t="s">
        <v>99</v>
      </c>
      <c r="B55" s="9">
        <v>46311</v>
      </c>
      <c r="C55" t="s">
        <v>52</v>
      </c>
      <c r="D55" t="s">
        <v>36</v>
      </c>
      <c r="E55" t="s">
        <v>32</v>
      </c>
      <c r="F55">
        <v>6</v>
      </c>
      <c r="G55" s="4">
        <v>2700</v>
      </c>
      <c r="H55" s="4">
        <f t="shared" si="0"/>
        <v>16200</v>
      </c>
      <c r="I55" t="s">
        <v>39</v>
      </c>
    </row>
    <row r="56" spans="1:9" x14ac:dyDescent="0.3">
      <c r="A56" t="s">
        <v>100</v>
      </c>
      <c r="B56" s="9">
        <v>46303</v>
      </c>
      <c r="C56" t="s">
        <v>52</v>
      </c>
      <c r="D56" t="s">
        <v>38</v>
      </c>
      <c r="E56" t="s">
        <v>27</v>
      </c>
      <c r="F56">
        <v>7</v>
      </c>
      <c r="G56" s="4">
        <v>13256</v>
      </c>
      <c r="H56" s="4">
        <f t="shared" si="0"/>
        <v>92792</v>
      </c>
      <c r="I56" t="s">
        <v>33</v>
      </c>
    </row>
    <row r="57" spans="1:9" x14ac:dyDescent="0.3">
      <c r="A57" t="s">
        <v>101</v>
      </c>
      <c r="B57" s="9">
        <v>46298</v>
      </c>
      <c r="C57" t="s">
        <v>54</v>
      </c>
      <c r="D57" t="s">
        <v>26</v>
      </c>
      <c r="E57" t="s">
        <v>42</v>
      </c>
      <c r="F57">
        <v>7</v>
      </c>
      <c r="G57" s="4">
        <v>4492</v>
      </c>
      <c r="H57" s="4">
        <f t="shared" si="0"/>
        <v>31444</v>
      </c>
      <c r="I57" t="s">
        <v>33</v>
      </c>
    </row>
    <row r="58" spans="1:9" x14ac:dyDescent="0.3">
      <c r="A58" t="s">
        <v>102</v>
      </c>
      <c r="B58" s="9">
        <v>46296</v>
      </c>
      <c r="C58" t="s">
        <v>30</v>
      </c>
      <c r="D58" t="s">
        <v>26</v>
      </c>
      <c r="E58" t="s">
        <v>27</v>
      </c>
      <c r="F58">
        <v>5</v>
      </c>
      <c r="G58" s="4">
        <v>3753</v>
      </c>
      <c r="H58" s="4">
        <f t="shared" si="0"/>
        <v>18765</v>
      </c>
      <c r="I58" t="s">
        <v>33</v>
      </c>
    </row>
    <row r="59" spans="1:9" x14ac:dyDescent="0.3">
      <c r="A59" t="s">
        <v>103</v>
      </c>
      <c r="B59" s="9">
        <v>46309</v>
      </c>
      <c r="C59" t="s">
        <v>44</v>
      </c>
      <c r="D59" t="s">
        <v>26</v>
      </c>
      <c r="E59" t="s">
        <v>32</v>
      </c>
      <c r="F59">
        <v>2</v>
      </c>
      <c r="G59" s="4">
        <v>3355</v>
      </c>
      <c r="H59" s="4">
        <f t="shared" si="0"/>
        <v>6710</v>
      </c>
      <c r="I59" t="s">
        <v>39</v>
      </c>
    </row>
    <row r="60" spans="1:9" x14ac:dyDescent="0.3">
      <c r="A60" t="s">
        <v>104</v>
      </c>
      <c r="B60" s="9">
        <v>46302</v>
      </c>
      <c r="C60" t="s">
        <v>54</v>
      </c>
      <c r="D60" t="s">
        <v>38</v>
      </c>
      <c r="E60" t="s">
        <v>32</v>
      </c>
      <c r="F60">
        <v>1</v>
      </c>
      <c r="G60" s="4">
        <v>4459</v>
      </c>
      <c r="H60" s="4">
        <f t="shared" si="0"/>
        <v>4459</v>
      </c>
      <c r="I60" t="s">
        <v>39</v>
      </c>
    </row>
    <row r="61" spans="1:9" x14ac:dyDescent="0.3">
      <c r="A61" t="s">
        <v>105</v>
      </c>
      <c r="B61" s="9">
        <v>46313</v>
      </c>
      <c r="C61" t="s">
        <v>52</v>
      </c>
      <c r="D61" t="s">
        <v>26</v>
      </c>
      <c r="E61" t="s">
        <v>32</v>
      </c>
      <c r="F61">
        <v>2</v>
      </c>
      <c r="G61" s="4">
        <v>7973</v>
      </c>
      <c r="H61" s="4">
        <f t="shared" si="0"/>
        <v>15946</v>
      </c>
      <c r="I61" t="s">
        <v>28</v>
      </c>
    </row>
    <row r="62" spans="1:9" x14ac:dyDescent="0.3">
      <c r="A62" t="s">
        <v>106</v>
      </c>
      <c r="B62" s="9">
        <v>46306</v>
      </c>
      <c r="C62" t="s">
        <v>44</v>
      </c>
      <c r="D62" t="s">
        <v>38</v>
      </c>
      <c r="E62" t="s">
        <v>49</v>
      </c>
      <c r="F62">
        <v>5</v>
      </c>
      <c r="G62" s="4">
        <v>2981</v>
      </c>
      <c r="H62" s="4">
        <f t="shared" si="0"/>
        <v>14905</v>
      </c>
      <c r="I62" t="s">
        <v>33</v>
      </c>
    </row>
    <row r="63" spans="1:9" x14ac:dyDescent="0.3">
      <c r="A63" t="s">
        <v>107</v>
      </c>
      <c r="B63" s="9">
        <v>46308</v>
      </c>
      <c r="C63" t="s">
        <v>54</v>
      </c>
      <c r="D63" t="s">
        <v>31</v>
      </c>
      <c r="E63" t="s">
        <v>27</v>
      </c>
      <c r="F63">
        <v>4</v>
      </c>
      <c r="G63" s="4">
        <v>16277</v>
      </c>
      <c r="H63" s="4">
        <f t="shared" si="0"/>
        <v>65108</v>
      </c>
      <c r="I63" t="s">
        <v>28</v>
      </c>
    </row>
    <row r="64" spans="1:9" x14ac:dyDescent="0.3">
      <c r="A64" t="s">
        <v>108</v>
      </c>
      <c r="B64" s="9">
        <v>46308</v>
      </c>
      <c r="C64" t="s">
        <v>48</v>
      </c>
      <c r="D64" t="s">
        <v>31</v>
      </c>
      <c r="E64" t="s">
        <v>42</v>
      </c>
      <c r="F64">
        <v>5</v>
      </c>
      <c r="G64" s="4">
        <v>3426</v>
      </c>
      <c r="H64" s="4">
        <f t="shared" si="0"/>
        <v>17130</v>
      </c>
      <c r="I64" t="s">
        <v>33</v>
      </c>
    </row>
    <row r="65" spans="1:9" x14ac:dyDescent="0.3">
      <c r="A65" t="s">
        <v>109</v>
      </c>
      <c r="B65" s="9">
        <v>46296</v>
      </c>
      <c r="C65" t="s">
        <v>54</v>
      </c>
      <c r="D65" t="s">
        <v>26</v>
      </c>
      <c r="E65" t="s">
        <v>27</v>
      </c>
      <c r="F65">
        <v>7</v>
      </c>
      <c r="G65" s="4">
        <v>28247</v>
      </c>
      <c r="H65" s="4">
        <f t="shared" si="0"/>
        <v>197729</v>
      </c>
      <c r="I65" t="s">
        <v>33</v>
      </c>
    </row>
    <row r="66" spans="1:9" x14ac:dyDescent="0.3">
      <c r="A66" t="s">
        <v>110</v>
      </c>
      <c r="B66" s="9">
        <v>46306</v>
      </c>
      <c r="C66" t="s">
        <v>56</v>
      </c>
      <c r="D66" t="s">
        <v>41</v>
      </c>
      <c r="E66" t="s">
        <v>32</v>
      </c>
      <c r="F66">
        <v>4</v>
      </c>
      <c r="G66" s="4">
        <v>4387</v>
      </c>
      <c r="H66" s="4">
        <f t="shared" ref="H66:H129" si="1">F66*G66</f>
        <v>17548</v>
      </c>
      <c r="I66" t="s">
        <v>33</v>
      </c>
    </row>
    <row r="67" spans="1:9" x14ac:dyDescent="0.3">
      <c r="A67" t="s">
        <v>111</v>
      </c>
      <c r="B67" s="9">
        <v>46301</v>
      </c>
      <c r="C67" t="s">
        <v>30</v>
      </c>
      <c r="D67" t="s">
        <v>26</v>
      </c>
      <c r="E67" t="s">
        <v>42</v>
      </c>
      <c r="F67">
        <v>6</v>
      </c>
      <c r="G67" s="4">
        <v>865</v>
      </c>
      <c r="H67" s="4">
        <f t="shared" si="1"/>
        <v>5190</v>
      </c>
      <c r="I67" t="s">
        <v>39</v>
      </c>
    </row>
    <row r="68" spans="1:9" x14ac:dyDescent="0.3">
      <c r="A68" t="s">
        <v>112</v>
      </c>
      <c r="B68" s="9">
        <v>46303</v>
      </c>
      <c r="C68" t="s">
        <v>54</v>
      </c>
      <c r="D68" t="s">
        <v>36</v>
      </c>
      <c r="E68" t="s">
        <v>27</v>
      </c>
      <c r="F68">
        <v>3</v>
      </c>
      <c r="G68" s="4">
        <v>3300</v>
      </c>
      <c r="H68" s="4">
        <f t="shared" si="1"/>
        <v>9900</v>
      </c>
      <c r="I68" t="s">
        <v>33</v>
      </c>
    </row>
    <row r="69" spans="1:9" x14ac:dyDescent="0.3">
      <c r="A69" t="s">
        <v>113</v>
      </c>
      <c r="B69" s="9">
        <v>46311</v>
      </c>
      <c r="C69" t="s">
        <v>30</v>
      </c>
      <c r="D69" t="s">
        <v>41</v>
      </c>
      <c r="E69" t="s">
        <v>32</v>
      </c>
      <c r="F69">
        <v>4</v>
      </c>
      <c r="G69" s="4">
        <v>6084</v>
      </c>
      <c r="H69" s="4">
        <f t="shared" si="1"/>
        <v>24336</v>
      </c>
      <c r="I69" t="s">
        <v>28</v>
      </c>
    </row>
    <row r="70" spans="1:9" x14ac:dyDescent="0.3">
      <c r="A70" t="s">
        <v>114</v>
      </c>
      <c r="B70" s="9">
        <v>46311</v>
      </c>
      <c r="C70" t="s">
        <v>62</v>
      </c>
      <c r="D70" t="s">
        <v>36</v>
      </c>
      <c r="E70" t="s">
        <v>27</v>
      </c>
      <c r="F70">
        <v>1</v>
      </c>
      <c r="G70" s="4">
        <v>27107</v>
      </c>
      <c r="H70" s="4">
        <f t="shared" si="1"/>
        <v>27107</v>
      </c>
      <c r="I70" t="s">
        <v>39</v>
      </c>
    </row>
    <row r="71" spans="1:9" x14ac:dyDescent="0.3">
      <c r="A71" t="s">
        <v>115</v>
      </c>
      <c r="B71" s="9">
        <v>46299</v>
      </c>
      <c r="C71" t="s">
        <v>62</v>
      </c>
      <c r="D71" t="s">
        <v>36</v>
      </c>
      <c r="E71" t="s">
        <v>27</v>
      </c>
      <c r="F71">
        <v>8</v>
      </c>
      <c r="G71" s="4">
        <v>4145</v>
      </c>
      <c r="H71" s="4">
        <f t="shared" si="1"/>
        <v>33160</v>
      </c>
      <c r="I71" t="s">
        <v>33</v>
      </c>
    </row>
    <row r="72" spans="1:9" x14ac:dyDescent="0.3">
      <c r="A72" t="s">
        <v>116</v>
      </c>
      <c r="B72" s="9">
        <v>46299</v>
      </c>
      <c r="C72" t="s">
        <v>56</v>
      </c>
      <c r="D72" t="s">
        <v>36</v>
      </c>
      <c r="E72" t="s">
        <v>32</v>
      </c>
      <c r="F72">
        <v>6</v>
      </c>
      <c r="G72" s="4">
        <v>7982</v>
      </c>
      <c r="H72" s="4">
        <f t="shared" si="1"/>
        <v>47892</v>
      </c>
      <c r="I72" t="s">
        <v>28</v>
      </c>
    </row>
    <row r="73" spans="1:9" x14ac:dyDescent="0.3">
      <c r="A73" t="s">
        <v>117</v>
      </c>
      <c r="B73" s="9">
        <v>46310</v>
      </c>
      <c r="C73" t="s">
        <v>62</v>
      </c>
      <c r="D73" t="s">
        <v>31</v>
      </c>
      <c r="E73" t="s">
        <v>32</v>
      </c>
      <c r="F73">
        <v>3</v>
      </c>
      <c r="G73" s="4">
        <v>6292</v>
      </c>
      <c r="H73" s="4">
        <f t="shared" si="1"/>
        <v>18876</v>
      </c>
      <c r="I73" t="s">
        <v>39</v>
      </c>
    </row>
    <row r="74" spans="1:9" x14ac:dyDescent="0.3">
      <c r="A74" t="s">
        <v>118</v>
      </c>
      <c r="B74" s="9">
        <v>46310</v>
      </c>
      <c r="C74" t="s">
        <v>54</v>
      </c>
      <c r="D74" t="s">
        <v>36</v>
      </c>
      <c r="E74" t="s">
        <v>49</v>
      </c>
      <c r="F74">
        <v>8</v>
      </c>
      <c r="G74" s="4">
        <v>2817</v>
      </c>
      <c r="H74" s="4">
        <f t="shared" si="1"/>
        <v>22536</v>
      </c>
      <c r="I74" t="s">
        <v>33</v>
      </c>
    </row>
    <row r="75" spans="1:9" x14ac:dyDescent="0.3">
      <c r="A75" t="s">
        <v>119</v>
      </c>
      <c r="B75" s="9">
        <v>46310</v>
      </c>
      <c r="C75" t="s">
        <v>30</v>
      </c>
      <c r="D75" t="s">
        <v>26</v>
      </c>
      <c r="E75" t="s">
        <v>27</v>
      </c>
      <c r="F75">
        <v>5</v>
      </c>
      <c r="G75" s="4">
        <v>13505</v>
      </c>
      <c r="H75" s="4">
        <f t="shared" si="1"/>
        <v>67525</v>
      </c>
      <c r="I75" t="s">
        <v>33</v>
      </c>
    </row>
    <row r="76" spans="1:9" x14ac:dyDescent="0.3">
      <c r="A76" t="s">
        <v>120</v>
      </c>
      <c r="B76" s="9">
        <v>46313</v>
      </c>
      <c r="C76" t="s">
        <v>30</v>
      </c>
      <c r="D76" t="s">
        <v>36</v>
      </c>
      <c r="E76" t="s">
        <v>27</v>
      </c>
      <c r="F76">
        <v>4</v>
      </c>
      <c r="G76" s="4">
        <v>15051</v>
      </c>
      <c r="H76" s="4">
        <f t="shared" si="1"/>
        <v>60204</v>
      </c>
      <c r="I76" t="s">
        <v>28</v>
      </c>
    </row>
    <row r="77" spans="1:9" x14ac:dyDescent="0.3">
      <c r="A77" t="s">
        <v>121</v>
      </c>
      <c r="B77" s="9">
        <v>46302</v>
      </c>
      <c r="C77" t="s">
        <v>30</v>
      </c>
      <c r="D77" t="s">
        <v>41</v>
      </c>
      <c r="E77" t="s">
        <v>32</v>
      </c>
      <c r="F77">
        <v>6</v>
      </c>
      <c r="G77" s="4">
        <v>4645</v>
      </c>
      <c r="H77" s="4">
        <f t="shared" si="1"/>
        <v>27870</v>
      </c>
      <c r="I77" t="s">
        <v>33</v>
      </c>
    </row>
    <row r="78" spans="1:9" x14ac:dyDescent="0.3">
      <c r="A78" t="s">
        <v>122</v>
      </c>
      <c r="B78" s="9">
        <v>46297</v>
      </c>
      <c r="C78" t="s">
        <v>52</v>
      </c>
      <c r="D78" t="s">
        <v>41</v>
      </c>
      <c r="E78" t="s">
        <v>32</v>
      </c>
      <c r="F78">
        <v>1</v>
      </c>
      <c r="G78" s="4">
        <v>7218</v>
      </c>
      <c r="H78" s="4">
        <f t="shared" si="1"/>
        <v>7218</v>
      </c>
      <c r="I78" t="s">
        <v>39</v>
      </c>
    </row>
    <row r="79" spans="1:9" x14ac:dyDescent="0.3">
      <c r="A79" t="s">
        <v>123</v>
      </c>
      <c r="B79" s="9">
        <v>46308</v>
      </c>
      <c r="C79" t="s">
        <v>56</v>
      </c>
      <c r="D79" t="s">
        <v>38</v>
      </c>
      <c r="E79" t="s">
        <v>49</v>
      </c>
      <c r="F79">
        <v>5</v>
      </c>
      <c r="G79" s="4">
        <v>3336</v>
      </c>
      <c r="H79" s="4">
        <f t="shared" si="1"/>
        <v>16680</v>
      </c>
      <c r="I79" t="s">
        <v>33</v>
      </c>
    </row>
    <row r="80" spans="1:9" x14ac:dyDescent="0.3">
      <c r="A80" t="s">
        <v>124</v>
      </c>
      <c r="B80" s="9">
        <v>46309</v>
      </c>
      <c r="C80" t="s">
        <v>52</v>
      </c>
      <c r="D80" t="s">
        <v>41</v>
      </c>
      <c r="E80" t="s">
        <v>27</v>
      </c>
      <c r="F80">
        <v>5</v>
      </c>
      <c r="G80" s="4">
        <v>16781</v>
      </c>
      <c r="H80" s="4">
        <f t="shared" si="1"/>
        <v>83905</v>
      </c>
      <c r="I80" t="s">
        <v>33</v>
      </c>
    </row>
    <row r="81" spans="1:9" x14ac:dyDescent="0.3">
      <c r="A81" t="s">
        <v>125</v>
      </c>
      <c r="B81" s="9">
        <v>46308</v>
      </c>
      <c r="C81" t="s">
        <v>44</v>
      </c>
      <c r="D81" t="s">
        <v>41</v>
      </c>
      <c r="E81" t="s">
        <v>27</v>
      </c>
      <c r="F81">
        <v>8</v>
      </c>
      <c r="G81" s="4">
        <v>6682</v>
      </c>
      <c r="H81" s="4">
        <f t="shared" si="1"/>
        <v>53456</v>
      </c>
      <c r="I81" t="s">
        <v>79</v>
      </c>
    </row>
    <row r="82" spans="1:9" x14ac:dyDescent="0.3">
      <c r="A82" t="s">
        <v>126</v>
      </c>
      <c r="B82" s="9">
        <v>46313</v>
      </c>
      <c r="C82" t="s">
        <v>25</v>
      </c>
      <c r="D82" t="s">
        <v>41</v>
      </c>
      <c r="E82" t="s">
        <v>42</v>
      </c>
      <c r="F82">
        <v>1</v>
      </c>
      <c r="G82" s="4">
        <v>787</v>
      </c>
      <c r="H82" s="4">
        <f t="shared" si="1"/>
        <v>787</v>
      </c>
      <c r="I82" t="s">
        <v>28</v>
      </c>
    </row>
    <row r="83" spans="1:9" x14ac:dyDescent="0.3">
      <c r="A83" t="s">
        <v>127</v>
      </c>
      <c r="B83" s="9">
        <v>46300</v>
      </c>
      <c r="C83" t="s">
        <v>56</v>
      </c>
      <c r="D83" t="s">
        <v>36</v>
      </c>
      <c r="E83" t="s">
        <v>46</v>
      </c>
      <c r="F83">
        <v>5</v>
      </c>
      <c r="G83" s="4">
        <v>26044</v>
      </c>
      <c r="H83" s="4">
        <f t="shared" si="1"/>
        <v>130220</v>
      </c>
      <c r="I83" t="s">
        <v>33</v>
      </c>
    </row>
    <row r="84" spans="1:9" x14ac:dyDescent="0.3">
      <c r="A84" t="s">
        <v>128</v>
      </c>
      <c r="B84" s="9">
        <v>46310</v>
      </c>
      <c r="C84" t="s">
        <v>44</v>
      </c>
      <c r="D84" t="s">
        <v>26</v>
      </c>
      <c r="E84" t="s">
        <v>32</v>
      </c>
      <c r="F84">
        <v>5</v>
      </c>
      <c r="G84" s="4">
        <v>6360</v>
      </c>
      <c r="H84" s="4">
        <f t="shared" si="1"/>
        <v>31800</v>
      </c>
      <c r="I84" t="s">
        <v>79</v>
      </c>
    </row>
    <row r="85" spans="1:9" x14ac:dyDescent="0.3">
      <c r="A85" t="s">
        <v>129</v>
      </c>
      <c r="B85" s="9">
        <v>46309</v>
      </c>
      <c r="C85" t="s">
        <v>54</v>
      </c>
      <c r="D85" t="s">
        <v>38</v>
      </c>
      <c r="E85" t="s">
        <v>32</v>
      </c>
      <c r="F85">
        <v>1</v>
      </c>
      <c r="G85" s="4">
        <v>6336</v>
      </c>
      <c r="H85" s="4">
        <f t="shared" si="1"/>
        <v>6336</v>
      </c>
      <c r="I85" t="s">
        <v>33</v>
      </c>
    </row>
    <row r="86" spans="1:9" x14ac:dyDescent="0.3">
      <c r="A86" t="s">
        <v>130</v>
      </c>
      <c r="B86" s="9">
        <v>46307</v>
      </c>
      <c r="C86" t="s">
        <v>52</v>
      </c>
      <c r="D86" t="s">
        <v>38</v>
      </c>
      <c r="E86" t="s">
        <v>46</v>
      </c>
      <c r="F86">
        <v>1</v>
      </c>
      <c r="G86" s="4">
        <v>17405</v>
      </c>
      <c r="H86" s="4">
        <f t="shared" si="1"/>
        <v>17405</v>
      </c>
      <c r="I86" t="s">
        <v>33</v>
      </c>
    </row>
    <row r="87" spans="1:9" x14ac:dyDescent="0.3">
      <c r="A87" t="s">
        <v>131</v>
      </c>
      <c r="B87" s="9">
        <v>46296</v>
      </c>
      <c r="C87" t="s">
        <v>48</v>
      </c>
      <c r="D87" t="s">
        <v>36</v>
      </c>
      <c r="E87" t="s">
        <v>27</v>
      </c>
      <c r="F87">
        <v>8</v>
      </c>
      <c r="G87" s="4">
        <v>24436</v>
      </c>
      <c r="H87" s="4">
        <f t="shared" si="1"/>
        <v>195488</v>
      </c>
      <c r="I87" t="s">
        <v>33</v>
      </c>
    </row>
    <row r="88" spans="1:9" x14ac:dyDescent="0.3">
      <c r="A88" t="s">
        <v>132</v>
      </c>
      <c r="B88" s="9">
        <v>46302</v>
      </c>
      <c r="C88" t="s">
        <v>56</v>
      </c>
      <c r="D88" t="s">
        <v>26</v>
      </c>
      <c r="E88" t="s">
        <v>49</v>
      </c>
      <c r="F88">
        <v>3</v>
      </c>
      <c r="G88" s="4">
        <v>2731</v>
      </c>
      <c r="H88" s="4">
        <f t="shared" si="1"/>
        <v>8193</v>
      </c>
      <c r="I88" t="s">
        <v>33</v>
      </c>
    </row>
    <row r="89" spans="1:9" x14ac:dyDescent="0.3">
      <c r="A89" t="s">
        <v>133</v>
      </c>
      <c r="B89" s="9">
        <v>46299</v>
      </c>
      <c r="C89" t="s">
        <v>48</v>
      </c>
      <c r="D89" t="s">
        <v>26</v>
      </c>
      <c r="E89" t="s">
        <v>46</v>
      </c>
      <c r="F89">
        <v>1</v>
      </c>
      <c r="G89" s="4">
        <v>21644</v>
      </c>
      <c r="H89" s="4">
        <f t="shared" si="1"/>
        <v>21644</v>
      </c>
      <c r="I89" t="s">
        <v>33</v>
      </c>
    </row>
    <row r="90" spans="1:9" x14ac:dyDescent="0.3">
      <c r="A90" t="s">
        <v>134</v>
      </c>
      <c r="B90" s="9">
        <v>46308</v>
      </c>
      <c r="C90" t="s">
        <v>62</v>
      </c>
      <c r="D90" t="s">
        <v>36</v>
      </c>
      <c r="E90" t="s">
        <v>46</v>
      </c>
      <c r="F90">
        <v>4</v>
      </c>
      <c r="G90" s="4">
        <v>7878</v>
      </c>
      <c r="H90" s="4">
        <f t="shared" si="1"/>
        <v>31512</v>
      </c>
      <c r="I90" t="s">
        <v>28</v>
      </c>
    </row>
    <row r="91" spans="1:9" x14ac:dyDescent="0.3">
      <c r="A91" t="s">
        <v>135</v>
      </c>
      <c r="B91" s="9">
        <v>46305</v>
      </c>
      <c r="C91" t="s">
        <v>30</v>
      </c>
      <c r="D91" t="s">
        <v>31</v>
      </c>
      <c r="E91" t="s">
        <v>46</v>
      </c>
      <c r="F91">
        <v>6</v>
      </c>
      <c r="G91" s="4">
        <v>36113</v>
      </c>
      <c r="H91" s="4">
        <f t="shared" si="1"/>
        <v>216678</v>
      </c>
      <c r="I91" t="s">
        <v>33</v>
      </c>
    </row>
    <row r="92" spans="1:9" x14ac:dyDescent="0.3">
      <c r="A92" t="s">
        <v>136</v>
      </c>
      <c r="B92" s="9">
        <v>46307</v>
      </c>
      <c r="C92" t="s">
        <v>30</v>
      </c>
      <c r="D92" t="s">
        <v>31</v>
      </c>
      <c r="E92" t="s">
        <v>49</v>
      </c>
      <c r="F92">
        <v>1</v>
      </c>
      <c r="G92" s="4">
        <v>1970</v>
      </c>
      <c r="H92" s="4">
        <f t="shared" si="1"/>
        <v>1970</v>
      </c>
      <c r="I92" t="s">
        <v>39</v>
      </c>
    </row>
    <row r="93" spans="1:9" x14ac:dyDescent="0.3">
      <c r="A93" t="s">
        <v>137</v>
      </c>
      <c r="B93" s="9">
        <v>46299</v>
      </c>
      <c r="C93" t="s">
        <v>62</v>
      </c>
      <c r="D93" t="s">
        <v>26</v>
      </c>
      <c r="E93" t="s">
        <v>32</v>
      </c>
      <c r="F93">
        <v>3</v>
      </c>
      <c r="G93" s="4">
        <v>3767</v>
      </c>
      <c r="H93" s="4">
        <f t="shared" si="1"/>
        <v>11301</v>
      </c>
      <c r="I93" t="s">
        <v>33</v>
      </c>
    </row>
    <row r="94" spans="1:9" x14ac:dyDescent="0.3">
      <c r="A94" t="s">
        <v>138</v>
      </c>
      <c r="B94" s="9">
        <v>46312</v>
      </c>
      <c r="C94" t="s">
        <v>54</v>
      </c>
      <c r="D94" t="s">
        <v>31</v>
      </c>
      <c r="E94" t="s">
        <v>42</v>
      </c>
      <c r="F94">
        <v>8</v>
      </c>
      <c r="G94" s="4">
        <v>3908</v>
      </c>
      <c r="H94" s="4">
        <f t="shared" si="1"/>
        <v>31264</v>
      </c>
      <c r="I94" t="s">
        <v>33</v>
      </c>
    </row>
    <row r="95" spans="1:9" x14ac:dyDescent="0.3">
      <c r="A95" t="s">
        <v>139</v>
      </c>
      <c r="B95" s="9">
        <v>46304</v>
      </c>
      <c r="C95" t="s">
        <v>44</v>
      </c>
      <c r="D95" t="s">
        <v>36</v>
      </c>
      <c r="E95" t="s">
        <v>46</v>
      </c>
      <c r="F95">
        <v>5</v>
      </c>
      <c r="G95" s="4">
        <v>30743</v>
      </c>
      <c r="H95" s="4">
        <f t="shared" si="1"/>
        <v>153715</v>
      </c>
      <c r="I95" t="s">
        <v>33</v>
      </c>
    </row>
    <row r="96" spans="1:9" x14ac:dyDescent="0.3">
      <c r="A96" t="s">
        <v>140</v>
      </c>
      <c r="B96" s="9">
        <v>46310</v>
      </c>
      <c r="C96" t="s">
        <v>62</v>
      </c>
      <c r="D96" t="s">
        <v>26</v>
      </c>
      <c r="E96" t="s">
        <v>46</v>
      </c>
      <c r="F96">
        <v>8</v>
      </c>
      <c r="G96" s="4">
        <v>22500</v>
      </c>
      <c r="H96" s="4">
        <f t="shared" si="1"/>
        <v>180000</v>
      </c>
      <c r="I96" t="s">
        <v>33</v>
      </c>
    </row>
    <row r="97" spans="1:9" x14ac:dyDescent="0.3">
      <c r="A97" t="s">
        <v>141</v>
      </c>
      <c r="B97" s="9">
        <v>46302</v>
      </c>
      <c r="C97" t="s">
        <v>44</v>
      </c>
      <c r="D97" t="s">
        <v>26</v>
      </c>
      <c r="E97" t="s">
        <v>49</v>
      </c>
      <c r="F97">
        <v>5</v>
      </c>
      <c r="G97" s="4">
        <v>2691</v>
      </c>
      <c r="H97" s="4">
        <f t="shared" si="1"/>
        <v>13455</v>
      </c>
      <c r="I97" t="s">
        <v>28</v>
      </c>
    </row>
    <row r="98" spans="1:9" x14ac:dyDescent="0.3">
      <c r="A98" t="s">
        <v>142</v>
      </c>
      <c r="B98" s="9">
        <v>46304</v>
      </c>
      <c r="C98" t="s">
        <v>25</v>
      </c>
      <c r="D98" t="s">
        <v>31</v>
      </c>
      <c r="E98" t="s">
        <v>27</v>
      </c>
      <c r="F98">
        <v>2</v>
      </c>
      <c r="G98" s="4">
        <v>10408</v>
      </c>
      <c r="H98" s="4">
        <f t="shared" si="1"/>
        <v>20816</v>
      </c>
      <c r="I98" t="s">
        <v>28</v>
      </c>
    </row>
    <row r="99" spans="1:9" x14ac:dyDescent="0.3">
      <c r="A99" t="s">
        <v>143</v>
      </c>
      <c r="B99" s="9">
        <v>46311</v>
      </c>
      <c r="C99" t="s">
        <v>52</v>
      </c>
      <c r="D99" t="s">
        <v>41</v>
      </c>
      <c r="E99" t="s">
        <v>32</v>
      </c>
      <c r="F99">
        <v>8</v>
      </c>
      <c r="G99" s="4">
        <v>6695</v>
      </c>
      <c r="H99" s="4">
        <f t="shared" si="1"/>
        <v>53560</v>
      </c>
      <c r="I99" t="s">
        <v>33</v>
      </c>
    </row>
    <row r="100" spans="1:9" x14ac:dyDescent="0.3">
      <c r="A100" t="s">
        <v>144</v>
      </c>
      <c r="B100" s="9">
        <v>46305</v>
      </c>
      <c r="C100" t="s">
        <v>52</v>
      </c>
      <c r="D100" t="s">
        <v>41</v>
      </c>
      <c r="E100" t="s">
        <v>27</v>
      </c>
      <c r="F100">
        <v>5</v>
      </c>
      <c r="G100" s="4">
        <v>24256</v>
      </c>
      <c r="H100" s="4">
        <f t="shared" si="1"/>
        <v>121280</v>
      </c>
      <c r="I100" t="s">
        <v>33</v>
      </c>
    </row>
    <row r="101" spans="1:9" x14ac:dyDescent="0.3">
      <c r="A101" t="s">
        <v>145</v>
      </c>
      <c r="B101" s="9">
        <v>46311</v>
      </c>
      <c r="C101" t="s">
        <v>44</v>
      </c>
      <c r="D101" t="s">
        <v>41</v>
      </c>
      <c r="E101" t="s">
        <v>42</v>
      </c>
      <c r="F101">
        <v>6</v>
      </c>
      <c r="G101" s="4">
        <v>2982</v>
      </c>
      <c r="H101" s="4">
        <f t="shared" si="1"/>
        <v>17892</v>
      </c>
      <c r="I101" t="s">
        <v>28</v>
      </c>
    </row>
    <row r="102" spans="1:9" x14ac:dyDescent="0.3">
      <c r="A102" t="s">
        <v>146</v>
      </c>
      <c r="B102" s="9">
        <v>46304</v>
      </c>
      <c r="C102" t="s">
        <v>54</v>
      </c>
      <c r="D102" t="s">
        <v>26</v>
      </c>
      <c r="E102" t="s">
        <v>27</v>
      </c>
      <c r="F102">
        <v>2</v>
      </c>
      <c r="G102" s="4">
        <v>26135</v>
      </c>
      <c r="H102" s="4">
        <f t="shared" si="1"/>
        <v>52270</v>
      </c>
      <c r="I102" t="s">
        <v>33</v>
      </c>
    </row>
    <row r="103" spans="1:9" x14ac:dyDescent="0.3">
      <c r="A103" t="s">
        <v>147</v>
      </c>
      <c r="B103" s="9">
        <v>46299</v>
      </c>
      <c r="C103" t="s">
        <v>48</v>
      </c>
      <c r="D103" t="s">
        <v>36</v>
      </c>
      <c r="E103" t="s">
        <v>27</v>
      </c>
      <c r="F103">
        <v>8</v>
      </c>
      <c r="G103" s="4">
        <v>11560</v>
      </c>
      <c r="H103" s="4">
        <f t="shared" si="1"/>
        <v>92480</v>
      </c>
      <c r="I103" t="s">
        <v>28</v>
      </c>
    </row>
    <row r="104" spans="1:9" x14ac:dyDescent="0.3">
      <c r="A104" t="s">
        <v>148</v>
      </c>
      <c r="B104" s="9">
        <v>46312</v>
      </c>
      <c r="C104" t="s">
        <v>54</v>
      </c>
      <c r="D104" t="s">
        <v>38</v>
      </c>
      <c r="E104" t="s">
        <v>27</v>
      </c>
      <c r="F104">
        <v>5</v>
      </c>
      <c r="G104" s="4">
        <v>9954</v>
      </c>
      <c r="H104" s="4">
        <f t="shared" si="1"/>
        <v>49770</v>
      </c>
      <c r="I104" t="s">
        <v>33</v>
      </c>
    </row>
    <row r="105" spans="1:9" x14ac:dyDescent="0.3">
      <c r="A105" t="s">
        <v>149</v>
      </c>
      <c r="B105" s="9">
        <v>46305</v>
      </c>
      <c r="C105" t="s">
        <v>25</v>
      </c>
      <c r="D105" t="s">
        <v>31</v>
      </c>
      <c r="E105" t="s">
        <v>27</v>
      </c>
      <c r="F105">
        <v>5</v>
      </c>
      <c r="G105" s="4">
        <v>3991</v>
      </c>
      <c r="H105" s="4">
        <f t="shared" si="1"/>
        <v>19955</v>
      </c>
      <c r="I105" t="s">
        <v>79</v>
      </c>
    </row>
    <row r="106" spans="1:9" x14ac:dyDescent="0.3">
      <c r="A106" t="s">
        <v>150</v>
      </c>
      <c r="B106" s="9">
        <v>46313</v>
      </c>
      <c r="C106" t="s">
        <v>54</v>
      </c>
      <c r="D106" t="s">
        <v>36</v>
      </c>
      <c r="E106" t="s">
        <v>32</v>
      </c>
      <c r="F106">
        <v>2</v>
      </c>
      <c r="G106" s="4">
        <v>7349</v>
      </c>
      <c r="H106" s="4">
        <f t="shared" si="1"/>
        <v>14698</v>
      </c>
      <c r="I106" t="s">
        <v>33</v>
      </c>
    </row>
    <row r="107" spans="1:9" x14ac:dyDescent="0.3">
      <c r="A107" t="s">
        <v>151</v>
      </c>
      <c r="B107" s="9">
        <v>46305</v>
      </c>
      <c r="C107" t="s">
        <v>56</v>
      </c>
      <c r="D107" t="s">
        <v>41</v>
      </c>
      <c r="E107" t="s">
        <v>32</v>
      </c>
      <c r="F107">
        <v>6</v>
      </c>
      <c r="G107" s="4">
        <v>1710</v>
      </c>
      <c r="H107" s="4">
        <f t="shared" si="1"/>
        <v>10260</v>
      </c>
      <c r="I107" t="s">
        <v>79</v>
      </c>
    </row>
    <row r="108" spans="1:9" x14ac:dyDescent="0.3">
      <c r="A108" t="s">
        <v>152</v>
      </c>
      <c r="B108" s="9">
        <v>46304</v>
      </c>
      <c r="C108" t="s">
        <v>56</v>
      </c>
      <c r="D108" t="s">
        <v>38</v>
      </c>
      <c r="E108" t="s">
        <v>46</v>
      </c>
      <c r="F108">
        <v>7</v>
      </c>
      <c r="G108" s="4">
        <v>33427</v>
      </c>
      <c r="H108" s="4">
        <f t="shared" si="1"/>
        <v>233989</v>
      </c>
      <c r="I108" t="s">
        <v>33</v>
      </c>
    </row>
    <row r="109" spans="1:9" x14ac:dyDescent="0.3">
      <c r="A109" t="s">
        <v>153</v>
      </c>
      <c r="B109" s="9">
        <v>46297</v>
      </c>
      <c r="C109" t="s">
        <v>48</v>
      </c>
      <c r="D109" t="s">
        <v>36</v>
      </c>
      <c r="E109" t="s">
        <v>42</v>
      </c>
      <c r="F109">
        <v>5</v>
      </c>
      <c r="G109" s="4">
        <v>797</v>
      </c>
      <c r="H109" s="4">
        <f t="shared" si="1"/>
        <v>3985</v>
      </c>
      <c r="I109" t="s">
        <v>79</v>
      </c>
    </row>
    <row r="110" spans="1:9" x14ac:dyDescent="0.3">
      <c r="A110" t="s">
        <v>154</v>
      </c>
      <c r="B110" s="9">
        <v>46299</v>
      </c>
      <c r="C110" t="s">
        <v>62</v>
      </c>
      <c r="D110" t="s">
        <v>31</v>
      </c>
      <c r="E110" t="s">
        <v>42</v>
      </c>
      <c r="F110">
        <v>4</v>
      </c>
      <c r="G110" s="4">
        <v>4380</v>
      </c>
      <c r="H110" s="4">
        <f t="shared" si="1"/>
        <v>17520</v>
      </c>
      <c r="I110" t="s">
        <v>33</v>
      </c>
    </row>
    <row r="111" spans="1:9" x14ac:dyDescent="0.3">
      <c r="A111" t="s">
        <v>155</v>
      </c>
      <c r="B111" s="9">
        <v>46310</v>
      </c>
      <c r="C111" t="s">
        <v>54</v>
      </c>
      <c r="D111" t="s">
        <v>31</v>
      </c>
      <c r="E111" t="s">
        <v>32</v>
      </c>
      <c r="F111">
        <v>5</v>
      </c>
      <c r="G111" s="4">
        <v>4858</v>
      </c>
      <c r="H111" s="4">
        <f t="shared" si="1"/>
        <v>24290</v>
      </c>
      <c r="I111" t="s">
        <v>28</v>
      </c>
    </row>
    <row r="112" spans="1:9" x14ac:dyDescent="0.3">
      <c r="A112" t="s">
        <v>156</v>
      </c>
      <c r="B112" s="9">
        <v>46299</v>
      </c>
      <c r="C112" t="s">
        <v>52</v>
      </c>
      <c r="D112" t="s">
        <v>36</v>
      </c>
      <c r="E112" t="s">
        <v>49</v>
      </c>
      <c r="F112">
        <v>2</v>
      </c>
      <c r="G112" s="4">
        <v>893</v>
      </c>
      <c r="H112" s="4">
        <f t="shared" si="1"/>
        <v>1786</v>
      </c>
      <c r="I112" t="s">
        <v>33</v>
      </c>
    </row>
    <row r="113" spans="1:9" x14ac:dyDescent="0.3">
      <c r="A113" t="s">
        <v>157</v>
      </c>
      <c r="B113" s="9">
        <v>46313</v>
      </c>
      <c r="C113" t="s">
        <v>30</v>
      </c>
      <c r="D113" t="s">
        <v>36</v>
      </c>
      <c r="E113" t="s">
        <v>46</v>
      </c>
      <c r="F113">
        <v>7</v>
      </c>
      <c r="G113" s="4">
        <v>30724</v>
      </c>
      <c r="H113" s="4">
        <f t="shared" si="1"/>
        <v>215068</v>
      </c>
      <c r="I113" t="s">
        <v>28</v>
      </c>
    </row>
    <row r="114" spans="1:9" x14ac:dyDescent="0.3">
      <c r="A114" t="s">
        <v>158</v>
      </c>
      <c r="B114" s="9">
        <v>46311</v>
      </c>
      <c r="C114" t="s">
        <v>54</v>
      </c>
      <c r="D114" t="s">
        <v>38</v>
      </c>
      <c r="E114" t="s">
        <v>27</v>
      </c>
      <c r="F114">
        <v>5</v>
      </c>
      <c r="G114" s="4">
        <v>25665</v>
      </c>
      <c r="H114" s="4">
        <f t="shared" si="1"/>
        <v>128325</v>
      </c>
      <c r="I114" t="s">
        <v>33</v>
      </c>
    </row>
    <row r="115" spans="1:9" x14ac:dyDescent="0.3">
      <c r="A115" t="s">
        <v>159</v>
      </c>
      <c r="B115" s="9">
        <v>46310</v>
      </c>
      <c r="C115" t="s">
        <v>30</v>
      </c>
      <c r="D115" t="s">
        <v>36</v>
      </c>
      <c r="E115" t="s">
        <v>49</v>
      </c>
      <c r="F115">
        <v>4</v>
      </c>
      <c r="G115" s="4">
        <v>1991</v>
      </c>
      <c r="H115" s="4">
        <f t="shared" si="1"/>
        <v>7964</v>
      </c>
      <c r="I115" t="s">
        <v>33</v>
      </c>
    </row>
    <row r="116" spans="1:9" x14ac:dyDescent="0.3">
      <c r="A116" t="s">
        <v>160</v>
      </c>
      <c r="B116" s="9">
        <v>46303</v>
      </c>
      <c r="C116" t="s">
        <v>48</v>
      </c>
      <c r="D116" t="s">
        <v>26</v>
      </c>
      <c r="E116" t="s">
        <v>27</v>
      </c>
      <c r="F116">
        <v>2</v>
      </c>
      <c r="G116" s="4">
        <v>4454</v>
      </c>
      <c r="H116" s="4">
        <f t="shared" si="1"/>
        <v>8908</v>
      </c>
      <c r="I116" t="s">
        <v>33</v>
      </c>
    </row>
    <row r="117" spans="1:9" x14ac:dyDescent="0.3">
      <c r="A117" t="s">
        <v>161</v>
      </c>
      <c r="B117" s="9">
        <v>46305</v>
      </c>
      <c r="C117" t="s">
        <v>54</v>
      </c>
      <c r="D117" t="s">
        <v>41</v>
      </c>
      <c r="E117" t="s">
        <v>46</v>
      </c>
      <c r="F117">
        <v>8</v>
      </c>
      <c r="G117" s="4">
        <v>21128</v>
      </c>
      <c r="H117" s="4">
        <f t="shared" si="1"/>
        <v>169024</v>
      </c>
      <c r="I117" t="s">
        <v>28</v>
      </c>
    </row>
    <row r="118" spans="1:9" x14ac:dyDescent="0.3">
      <c r="A118" t="s">
        <v>162</v>
      </c>
      <c r="B118" s="9">
        <v>46304</v>
      </c>
      <c r="C118" t="s">
        <v>56</v>
      </c>
      <c r="D118" t="s">
        <v>41</v>
      </c>
      <c r="E118" t="s">
        <v>46</v>
      </c>
      <c r="F118">
        <v>1</v>
      </c>
      <c r="G118" s="4">
        <v>29513</v>
      </c>
      <c r="H118" s="4">
        <f t="shared" si="1"/>
        <v>29513</v>
      </c>
      <c r="I118" t="s">
        <v>28</v>
      </c>
    </row>
    <row r="119" spans="1:9" x14ac:dyDescent="0.3">
      <c r="A119" t="s">
        <v>163</v>
      </c>
      <c r="B119" s="9">
        <v>46304</v>
      </c>
      <c r="C119" t="s">
        <v>25</v>
      </c>
      <c r="D119" t="s">
        <v>38</v>
      </c>
      <c r="E119" t="s">
        <v>27</v>
      </c>
      <c r="F119">
        <v>1</v>
      </c>
      <c r="G119" s="4">
        <v>27559</v>
      </c>
      <c r="H119" s="4">
        <f t="shared" si="1"/>
        <v>27559</v>
      </c>
      <c r="I119" t="s">
        <v>28</v>
      </c>
    </row>
    <row r="120" spans="1:9" x14ac:dyDescent="0.3">
      <c r="A120" t="s">
        <v>164</v>
      </c>
      <c r="B120" s="9">
        <v>46304</v>
      </c>
      <c r="C120" t="s">
        <v>25</v>
      </c>
      <c r="D120" t="s">
        <v>36</v>
      </c>
      <c r="E120" t="s">
        <v>32</v>
      </c>
      <c r="F120">
        <v>8</v>
      </c>
      <c r="G120" s="4">
        <v>7704</v>
      </c>
      <c r="H120" s="4">
        <f t="shared" si="1"/>
        <v>61632</v>
      </c>
      <c r="I120" t="s">
        <v>33</v>
      </c>
    </row>
    <row r="121" spans="1:9" x14ac:dyDescent="0.3">
      <c r="A121" t="s">
        <v>165</v>
      </c>
      <c r="B121" s="9">
        <v>46309</v>
      </c>
      <c r="C121" t="s">
        <v>56</v>
      </c>
      <c r="D121" t="s">
        <v>38</v>
      </c>
      <c r="E121" t="s">
        <v>32</v>
      </c>
      <c r="F121">
        <v>6</v>
      </c>
      <c r="G121" s="4">
        <v>3545</v>
      </c>
      <c r="H121" s="4">
        <f t="shared" si="1"/>
        <v>21270</v>
      </c>
      <c r="I121" t="s">
        <v>33</v>
      </c>
    </row>
    <row r="122" spans="1:9" x14ac:dyDescent="0.3">
      <c r="A122" t="s">
        <v>166</v>
      </c>
      <c r="B122" s="9">
        <v>46299</v>
      </c>
      <c r="C122" t="s">
        <v>48</v>
      </c>
      <c r="D122" t="s">
        <v>26</v>
      </c>
      <c r="E122" t="s">
        <v>32</v>
      </c>
      <c r="F122">
        <v>8</v>
      </c>
      <c r="G122" s="4">
        <v>2561</v>
      </c>
      <c r="H122" s="4">
        <f t="shared" si="1"/>
        <v>20488</v>
      </c>
      <c r="I122" t="s">
        <v>28</v>
      </c>
    </row>
    <row r="123" spans="1:9" x14ac:dyDescent="0.3">
      <c r="A123" t="s">
        <v>167</v>
      </c>
      <c r="B123" s="9">
        <v>46308</v>
      </c>
      <c r="C123" t="s">
        <v>25</v>
      </c>
      <c r="D123" t="s">
        <v>41</v>
      </c>
      <c r="E123" t="s">
        <v>46</v>
      </c>
      <c r="F123">
        <v>6</v>
      </c>
      <c r="G123" s="4">
        <v>17741</v>
      </c>
      <c r="H123" s="4">
        <f t="shared" si="1"/>
        <v>106446</v>
      </c>
      <c r="I123" t="s">
        <v>33</v>
      </c>
    </row>
    <row r="124" spans="1:9" x14ac:dyDescent="0.3">
      <c r="A124" t="s">
        <v>168</v>
      </c>
      <c r="B124" s="9">
        <v>46308</v>
      </c>
      <c r="C124" t="s">
        <v>25</v>
      </c>
      <c r="D124" t="s">
        <v>31</v>
      </c>
      <c r="E124" t="s">
        <v>32</v>
      </c>
      <c r="F124">
        <v>7</v>
      </c>
      <c r="G124" s="4">
        <v>644</v>
      </c>
      <c r="H124" s="4">
        <f t="shared" si="1"/>
        <v>4508</v>
      </c>
      <c r="I124" t="s">
        <v>33</v>
      </c>
    </row>
    <row r="125" spans="1:9" x14ac:dyDescent="0.3">
      <c r="A125" t="s">
        <v>169</v>
      </c>
      <c r="B125" s="9">
        <v>46307</v>
      </c>
      <c r="C125" t="s">
        <v>56</v>
      </c>
      <c r="D125" t="s">
        <v>41</v>
      </c>
      <c r="E125" t="s">
        <v>46</v>
      </c>
      <c r="F125">
        <v>4</v>
      </c>
      <c r="G125" s="4">
        <v>18701</v>
      </c>
      <c r="H125" s="4">
        <f t="shared" si="1"/>
        <v>74804</v>
      </c>
      <c r="I125" t="s">
        <v>33</v>
      </c>
    </row>
    <row r="126" spans="1:9" x14ac:dyDescent="0.3">
      <c r="A126" t="s">
        <v>170</v>
      </c>
      <c r="B126" s="9">
        <v>46305</v>
      </c>
      <c r="C126" t="s">
        <v>56</v>
      </c>
      <c r="D126" t="s">
        <v>41</v>
      </c>
      <c r="E126" t="s">
        <v>46</v>
      </c>
      <c r="F126">
        <v>1</v>
      </c>
      <c r="G126" s="4">
        <v>42489</v>
      </c>
      <c r="H126" s="4">
        <f t="shared" si="1"/>
        <v>42489</v>
      </c>
      <c r="I126" t="s">
        <v>33</v>
      </c>
    </row>
    <row r="127" spans="1:9" x14ac:dyDescent="0.3">
      <c r="A127" t="s">
        <v>171</v>
      </c>
      <c r="B127" s="9">
        <v>46303</v>
      </c>
      <c r="C127" t="s">
        <v>48</v>
      </c>
      <c r="D127" t="s">
        <v>26</v>
      </c>
      <c r="E127" t="s">
        <v>42</v>
      </c>
      <c r="F127">
        <v>1</v>
      </c>
      <c r="G127" s="4">
        <v>4624</v>
      </c>
      <c r="H127" s="4">
        <f t="shared" si="1"/>
        <v>4624</v>
      </c>
      <c r="I127" t="s">
        <v>33</v>
      </c>
    </row>
    <row r="128" spans="1:9" x14ac:dyDescent="0.3">
      <c r="A128" t="s">
        <v>172</v>
      </c>
      <c r="B128" s="9">
        <v>46303</v>
      </c>
      <c r="C128" t="s">
        <v>30</v>
      </c>
      <c r="D128" t="s">
        <v>41</v>
      </c>
      <c r="E128" t="s">
        <v>46</v>
      </c>
      <c r="F128">
        <v>3</v>
      </c>
      <c r="G128" s="4">
        <v>33861</v>
      </c>
      <c r="H128" s="4">
        <f t="shared" si="1"/>
        <v>101583</v>
      </c>
      <c r="I128" t="s">
        <v>39</v>
      </c>
    </row>
    <row r="129" spans="1:9" x14ac:dyDescent="0.3">
      <c r="A129" t="s">
        <v>173</v>
      </c>
      <c r="B129" s="9">
        <v>46305</v>
      </c>
      <c r="C129" t="s">
        <v>54</v>
      </c>
      <c r="D129" t="s">
        <v>41</v>
      </c>
      <c r="E129" t="s">
        <v>32</v>
      </c>
      <c r="F129">
        <v>8</v>
      </c>
      <c r="G129" s="4">
        <v>2196</v>
      </c>
      <c r="H129" s="4">
        <f t="shared" si="1"/>
        <v>17568</v>
      </c>
      <c r="I129" t="s">
        <v>33</v>
      </c>
    </row>
    <row r="130" spans="1:9" x14ac:dyDescent="0.3">
      <c r="A130" t="s">
        <v>174</v>
      </c>
      <c r="B130" s="9">
        <v>46300</v>
      </c>
      <c r="C130" t="s">
        <v>62</v>
      </c>
      <c r="D130" t="s">
        <v>36</v>
      </c>
      <c r="E130" t="s">
        <v>42</v>
      </c>
      <c r="F130">
        <v>3</v>
      </c>
      <c r="G130" s="4">
        <v>671</v>
      </c>
      <c r="H130" s="4">
        <f t="shared" ref="H130:H193" si="2">F130*G130</f>
        <v>2013</v>
      </c>
      <c r="I130" t="s">
        <v>33</v>
      </c>
    </row>
    <row r="131" spans="1:9" x14ac:dyDescent="0.3">
      <c r="A131" t="s">
        <v>175</v>
      </c>
      <c r="B131" s="9">
        <v>46309</v>
      </c>
      <c r="C131" t="s">
        <v>44</v>
      </c>
      <c r="D131" t="s">
        <v>31</v>
      </c>
      <c r="E131" t="s">
        <v>49</v>
      </c>
      <c r="F131">
        <v>1</v>
      </c>
      <c r="G131" s="4">
        <v>1408</v>
      </c>
      <c r="H131" s="4">
        <f t="shared" si="2"/>
        <v>1408</v>
      </c>
      <c r="I131" t="s">
        <v>28</v>
      </c>
    </row>
    <row r="132" spans="1:9" x14ac:dyDescent="0.3">
      <c r="A132" t="s">
        <v>176</v>
      </c>
      <c r="B132" s="9">
        <v>46311</v>
      </c>
      <c r="C132" t="s">
        <v>48</v>
      </c>
      <c r="D132" t="s">
        <v>41</v>
      </c>
      <c r="E132" t="s">
        <v>42</v>
      </c>
      <c r="F132">
        <v>8</v>
      </c>
      <c r="G132" s="4">
        <v>2927</v>
      </c>
      <c r="H132" s="4">
        <f t="shared" si="2"/>
        <v>23416</v>
      </c>
      <c r="I132" t="s">
        <v>33</v>
      </c>
    </row>
    <row r="133" spans="1:9" x14ac:dyDescent="0.3">
      <c r="A133" t="s">
        <v>177</v>
      </c>
      <c r="B133" s="9">
        <v>46313</v>
      </c>
      <c r="C133" t="s">
        <v>62</v>
      </c>
      <c r="D133" t="s">
        <v>41</v>
      </c>
      <c r="E133" t="s">
        <v>49</v>
      </c>
      <c r="F133">
        <v>4</v>
      </c>
      <c r="G133" s="4">
        <v>3106</v>
      </c>
      <c r="H133" s="4">
        <f t="shared" si="2"/>
        <v>12424</v>
      </c>
      <c r="I133" t="s">
        <v>33</v>
      </c>
    </row>
    <row r="134" spans="1:9" x14ac:dyDescent="0.3">
      <c r="A134" t="s">
        <v>178</v>
      </c>
      <c r="B134" s="9">
        <v>46308</v>
      </c>
      <c r="C134" t="s">
        <v>52</v>
      </c>
      <c r="D134" t="s">
        <v>41</v>
      </c>
      <c r="E134" t="s">
        <v>46</v>
      </c>
      <c r="F134">
        <v>6</v>
      </c>
      <c r="G134" s="4">
        <v>32196</v>
      </c>
      <c r="H134" s="4">
        <f t="shared" si="2"/>
        <v>193176</v>
      </c>
      <c r="I134" t="s">
        <v>28</v>
      </c>
    </row>
    <row r="135" spans="1:9" x14ac:dyDescent="0.3">
      <c r="A135" t="s">
        <v>179</v>
      </c>
      <c r="B135" s="9">
        <v>46308</v>
      </c>
      <c r="C135" t="s">
        <v>62</v>
      </c>
      <c r="D135" t="s">
        <v>36</v>
      </c>
      <c r="E135" t="s">
        <v>32</v>
      </c>
      <c r="F135">
        <v>1</v>
      </c>
      <c r="G135" s="4">
        <v>1234</v>
      </c>
      <c r="H135" s="4">
        <f t="shared" si="2"/>
        <v>1234</v>
      </c>
      <c r="I135" t="s">
        <v>33</v>
      </c>
    </row>
    <row r="136" spans="1:9" x14ac:dyDescent="0.3">
      <c r="A136" t="s">
        <v>180</v>
      </c>
      <c r="B136" s="9">
        <v>46306</v>
      </c>
      <c r="C136" t="s">
        <v>30</v>
      </c>
      <c r="D136" t="s">
        <v>41</v>
      </c>
      <c r="E136" t="s">
        <v>46</v>
      </c>
      <c r="F136">
        <v>8</v>
      </c>
      <c r="G136" s="4">
        <v>2205</v>
      </c>
      <c r="H136" s="4">
        <f t="shared" si="2"/>
        <v>17640</v>
      </c>
      <c r="I136" t="s">
        <v>28</v>
      </c>
    </row>
    <row r="137" spans="1:9" x14ac:dyDescent="0.3">
      <c r="A137" t="s">
        <v>181</v>
      </c>
      <c r="B137" s="9">
        <v>46309</v>
      </c>
      <c r="C137" t="s">
        <v>48</v>
      </c>
      <c r="D137" t="s">
        <v>38</v>
      </c>
      <c r="E137" t="s">
        <v>32</v>
      </c>
      <c r="F137">
        <v>5</v>
      </c>
      <c r="G137" s="4">
        <v>2973</v>
      </c>
      <c r="H137" s="4">
        <f t="shared" si="2"/>
        <v>14865</v>
      </c>
      <c r="I137" t="s">
        <v>28</v>
      </c>
    </row>
    <row r="138" spans="1:9" x14ac:dyDescent="0.3">
      <c r="A138" t="s">
        <v>182</v>
      </c>
      <c r="B138" s="9">
        <v>46308</v>
      </c>
      <c r="C138" t="s">
        <v>30</v>
      </c>
      <c r="D138" t="s">
        <v>26</v>
      </c>
      <c r="E138" t="s">
        <v>42</v>
      </c>
      <c r="F138">
        <v>7</v>
      </c>
      <c r="G138" s="4">
        <v>2694</v>
      </c>
      <c r="H138" s="4">
        <f t="shared" si="2"/>
        <v>18858</v>
      </c>
      <c r="I138" t="s">
        <v>28</v>
      </c>
    </row>
    <row r="139" spans="1:9" x14ac:dyDescent="0.3">
      <c r="A139" t="s">
        <v>183</v>
      </c>
      <c r="B139" s="9">
        <v>46311</v>
      </c>
      <c r="C139" t="s">
        <v>25</v>
      </c>
      <c r="D139" t="s">
        <v>31</v>
      </c>
      <c r="E139" t="s">
        <v>46</v>
      </c>
      <c r="F139">
        <v>4</v>
      </c>
      <c r="G139" s="4">
        <v>42563</v>
      </c>
      <c r="H139" s="4">
        <f t="shared" si="2"/>
        <v>170252</v>
      </c>
      <c r="I139" t="s">
        <v>28</v>
      </c>
    </row>
    <row r="140" spans="1:9" x14ac:dyDescent="0.3">
      <c r="A140" t="s">
        <v>184</v>
      </c>
      <c r="B140" s="9">
        <v>46305</v>
      </c>
      <c r="C140" t="s">
        <v>52</v>
      </c>
      <c r="D140" t="s">
        <v>38</v>
      </c>
      <c r="E140" t="s">
        <v>32</v>
      </c>
      <c r="F140">
        <v>2</v>
      </c>
      <c r="G140" s="4">
        <v>6428</v>
      </c>
      <c r="H140" s="4">
        <f t="shared" si="2"/>
        <v>12856</v>
      </c>
      <c r="I140" t="s">
        <v>28</v>
      </c>
    </row>
    <row r="141" spans="1:9" x14ac:dyDescent="0.3">
      <c r="A141" t="s">
        <v>185</v>
      </c>
      <c r="B141" s="9">
        <v>46299</v>
      </c>
      <c r="C141" t="s">
        <v>56</v>
      </c>
      <c r="D141" t="s">
        <v>36</v>
      </c>
      <c r="E141" t="s">
        <v>49</v>
      </c>
      <c r="F141">
        <v>1</v>
      </c>
      <c r="G141" s="4">
        <v>438</v>
      </c>
      <c r="H141" s="4">
        <f t="shared" si="2"/>
        <v>438</v>
      </c>
      <c r="I141" t="s">
        <v>33</v>
      </c>
    </row>
    <row r="142" spans="1:9" x14ac:dyDescent="0.3">
      <c r="A142" t="s">
        <v>186</v>
      </c>
      <c r="B142" s="9">
        <v>46297</v>
      </c>
      <c r="C142" t="s">
        <v>54</v>
      </c>
      <c r="D142" t="s">
        <v>26</v>
      </c>
      <c r="E142" t="s">
        <v>49</v>
      </c>
      <c r="F142">
        <v>7</v>
      </c>
      <c r="G142" s="4">
        <v>846</v>
      </c>
      <c r="H142" s="4">
        <f t="shared" si="2"/>
        <v>5922</v>
      </c>
      <c r="I142" t="s">
        <v>33</v>
      </c>
    </row>
    <row r="143" spans="1:9" x14ac:dyDescent="0.3">
      <c r="A143" t="s">
        <v>187</v>
      </c>
      <c r="B143" s="9">
        <v>46309</v>
      </c>
      <c r="C143" t="s">
        <v>48</v>
      </c>
      <c r="D143" t="s">
        <v>36</v>
      </c>
      <c r="E143" t="s">
        <v>27</v>
      </c>
      <c r="F143">
        <v>2</v>
      </c>
      <c r="G143" s="4">
        <v>22471</v>
      </c>
      <c r="H143" s="4">
        <f t="shared" si="2"/>
        <v>44942</v>
      </c>
      <c r="I143" t="s">
        <v>39</v>
      </c>
    </row>
    <row r="144" spans="1:9" x14ac:dyDescent="0.3">
      <c r="A144" t="s">
        <v>188</v>
      </c>
      <c r="B144" s="9">
        <v>46303</v>
      </c>
      <c r="C144" t="s">
        <v>56</v>
      </c>
      <c r="D144" t="s">
        <v>31</v>
      </c>
      <c r="E144" t="s">
        <v>27</v>
      </c>
      <c r="F144">
        <v>4</v>
      </c>
      <c r="G144" s="4">
        <v>17610</v>
      </c>
      <c r="H144" s="4">
        <f t="shared" si="2"/>
        <v>70440</v>
      </c>
      <c r="I144" t="s">
        <v>28</v>
      </c>
    </row>
    <row r="145" spans="1:9" x14ac:dyDescent="0.3">
      <c r="A145" t="s">
        <v>189</v>
      </c>
      <c r="B145" s="9">
        <v>46310</v>
      </c>
      <c r="C145" t="s">
        <v>54</v>
      </c>
      <c r="D145" t="s">
        <v>38</v>
      </c>
      <c r="E145" t="s">
        <v>32</v>
      </c>
      <c r="F145">
        <v>5</v>
      </c>
      <c r="G145" s="4">
        <v>5750</v>
      </c>
      <c r="H145" s="4">
        <f t="shared" si="2"/>
        <v>28750</v>
      </c>
      <c r="I145" t="s">
        <v>33</v>
      </c>
    </row>
    <row r="146" spans="1:9" x14ac:dyDescent="0.3">
      <c r="A146" t="s">
        <v>190</v>
      </c>
      <c r="B146" s="9">
        <v>46298</v>
      </c>
      <c r="C146" t="s">
        <v>56</v>
      </c>
      <c r="D146" t="s">
        <v>26</v>
      </c>
      <c r="E146" t="s">
        <v>42</v>
      </c>
      <c r="F146">
        <v>5</v>
      </c>
      <c r="G146" s="4">
        <v>5334</v>
      </c>
      <c r="H146" s="4">
        <f t="shared" si="2"/>
        <v>26670</v>
      </c>
      <c r="I146" t="s">
        <v>79</v>
      </c>
    </row>
    <row r="147" spans="1:9" x14ac:dyDescent="0.3">
      <c r="A147" t="s">
        <v>191</v>
      </c>
      <c r="B147" s="9">
        <v>46304</v>
      </c>
      <c r="C147" t="s">
        <v>56</v>
      </c>
      <c r="D147" t="s">
        <v>26</v>
      </c>
      <c r="E147" t="s">
        <v>27</v>
      </c>
      <c r="F147">
        <v>7</v>
      </c>
      <c r="G147" s="4">
        <v>18333</v>
      </c>
      <c r="H147" s="4">
        <f t="shared" si="2"/>
        <v>128331</v>
      </c>
      <c r="I147" t="s">
        <v>33</v>
      </c>
    </row>
    <row r="148" spans="1:9" x14ac:dyDescent="0.3">
      <c r="A148" t="s">
        <v>192</v>
      </c>
      <c r="B148" s="9">
        <v>46308</v>
      </c>
      <c r="C148" t="s">
        <v>44</v>
      </c>
      <c r="D148" t="s">
        <v>31</v>
      </c>
      <c r="E148" t="s">
        <v>49</v>
      </c>
      <c r="F148">
        <v>5</v>
      </c>
      <c r="G148" s="4">
        <v>339</v>
      </c>
      <c r="H148" s="4">
        <f t="shared" si="2"/>
        <v>1695</v>
      </c>
      <c r="I148" t="s">
        <v>79</v>
      </c>
    </row>
    <row r="149" spans="1:9" x14ac:dyDescent="0.3">
      <c r="A149" t="s">
        <v>193</v>
      </c>
      <c r="B149" s="9">
        <v>46308</v>
      </c>
      <c r="C149" t="s">
        <v>54</v>
      </c>
      <c r="D149" t="s">
        <v>38</v>
      </c>
      <c r="E149" t="s">
        <v>42</v>
      </c>
      <c r="F149">
        <v>1</v>
      </c>
      <c r="G149" s="4">
        <v>5067</v>
      </c>
      <c r="H149" s="4">
        <f t="shared" si="2"/>
        <v>5067</v>
      </c>
      <c r="I149" t="s">
        <v>28</v>
      </c>
    </row>
    <row r="150" spans="1:9" x14ac:dyDescent="0.3">
      <c r="A150" t="s">
        <v>194</v>
      </c>
      <c r="B150" s="9">
        <v>46305</v>
      </c>
      <c r="C150" t="s">
        <v>52</v>
      </c>
      <c r="D150" t="s">
        <v>31</v>
      </c>
      <c r="E150" t="s">
        <v>49</v>
      </c>
      <c r="F150">
        <v>4</v>
      </c>
      <c r="G150" s="4">
        <v>2857</v>
      </c>
      <c r="H150" s="4">
        <f t="shared" si="2"/>
        <v>11428</v>
      </c>
      <c r="I150" t="s">
        <v>33</v>
      </c>
    </row>
    <row r="151" spans="1:9" x14ac:dyDescent="0.3">
      <c r="A151" t="s">
        <v>195</v>
      </c>
      <c r="B151" s="9">
        <v>46304</v>
      </c>
      <c r="C151" t="s">
        <v>48</v>
      </c>
      <c r="D151" t="s">
        <v>38</v>
      </c>
      <c r="E151" t="s">
        <v>46</v>
      </c>
      <c r="F151">
        <v>5</v>
      </c>
      <c r="G151" s="4">
        <v>30089</v>
      </c>
      <c r="H151" s="4">
        <f t="shared" si="2"/>
        <v>150445</v>
      </c>
      <c r="I151" t="s">
        <v>33</v>
      </c>
    </row>
    <row r="152" spans="1:9" x14ac:dyDescent="0.3">
      <c r="A152" t="s">
        <v>196</v>
      </c>
      <c r="B152" s="9">
        <v>46307</v>
      </c>
      <c r="C152" t="s">
        <v>48</v>
      </c>
      <c r="D152" t="s">
        <v>38</v>
      </c>
      <c r="E152" t="s">
        <v>49</v>
      </c>
      <c r="F152">
        <v>6</v>
      </c>
      <c r="G152" s="4">
        <v>3311</v>
      </c>
      <c r="H152" s="4">
        <f t="shared" si="2"/>
        <v>19866</v>
      </c>
      <c r="I152" t="s">
        <v>33</v>
      </c>
    </row>
    <row r="153" spans="1:9" x14ac:dyDescent="0.3">
      <c r="A153" t="s">
        <v>197</v>
      </c>
      <c r="B153" s="9">
        <v>46302</v>
      </c>
      <c r="C153" t="s">
        <v>48</v>
      </c>
      <c r="D153" t="s">
        <v>31</v>
      </c>
      <c r="E153" t="s">
        <v>49</v>
      </c>
      <c r="F153">
        <v>5</v>
      </c>
      <c r="G153" s="4">
        <v>923</v>
      </c>
      <c r="H153" s="4">
        <f t="shared" si="2"/>
        <v>4615</v>
      </c>
      <c r="I153" t="s">
        <v>33</v>
      </c>
    </row>
    <row r="154" spans="1:9" x14ac:dyDescent="0.3">
      <c r="A154" t="s">
        <v>198</v>
      </c>
      <c r="B154" s="9">
        <v>46311</v>
      </c>
      <c r="C154" t="s">
        <v>54</v>
      </c>
      <c r="D154" t="s">
        <v>26</v>
      </c>
      <c r="E154" t="s">
        <v>46</v>
      </c>
      <c r="F154">
        <v>8</v>
      </c>
      <c r="G154" s="4">
        <v>6134</v>
      </c>
      <c r="H154" s="4">
        <f t="shared" si="2"/>
        <v>49072</v>
      </c>
      <c r="I154" t="s">
        <v>33</v>
      </c>
    </row>
    <row r="155" spans="1:9" x14ac:dyDescent="0.3">
      <c r="A155" t="s">
        <v>199</v>
      </c>
      <c r="B155" s="9">
        <v>46303</v>
      </c>
      <c r="C155" t="s">
        <v>62</v>
      </c>
      <c r="D155" t="s">
        <v>31</v>
      </c>
      <c r="E155" t="s">
        <v>49</v>
      </c>
      <c r="F155">
        <v>2</v>
      </c>
      <c r="G155" s="4">
        <v>3488</v>
      </c>
      <c r="H155" s="4">
        <f t="shared" si="2"/>
        <v>6976</v>
      </c>
      <c r="I155" t="s">
        <v>33</v>
      </c>
    </row>
    <row r="156" spans="1:9" x14ac:dyDescent="0.3">
      <c r="A156" t="s">
        <v>200</v>
      </c>
      <c r="B156" s="9">
        <v>46304</v>
      </c>
      <c r="C156" t="s">
        <v>30</v>
      </c>
      <c r="D156" t="s">
        <v>41</v>
      </c>
      <c r="E156" t="s">
        <v>49</v>
      </c>
      <c r="F156">
        <v>5</v>
      </c>
      <c r="G156" s="4">
        <v>2644</v>
      </c>
      <c r="H156" s="4">
        <f t="shared" si="2"/>
        <v>13220</v>
      </c>
      <c r="I156" t="s">
        <v>33</v>
      </c>
    </row>
    <row r="157" spans="1:9" x14ac:dyDescent="0.3">
      <c r="A157" t="s">
        <v>201</v>
      </c>
      <c r="B157" s="9">
        <v>46307</v>
      </c>
      <c r="C157" t="s">
        <v>30</v>
      </c>
      <c r="D157" t="s">
        <v>36</v>
      </c>
      <c r="E157" t="s">
        <v>32</v>
      </c>
      <c r="F157">
        <v>1</v>
      </c>
      <c r="G157" s="4">
        <v>5275</v>
      </c>
      <c r="H157" s="4">
        <f t="shared" si="2"/>
        <v>5275</v>
      </c>
      <c r="I157" t="s">
        <v>39</v>
      </c>
    </row>
    <row r="158" spans="1:9" x14ac:dyDescent="0.3">
      <c r="A158" t="s">
        <v>202</v>
      </c>
      <c r="B158" s="9">
        <v>46313</v>
      </c>
      <c r="C158" t="s">
        <v>44</v>
      </c>
      <c r="D158" t="s">
        <v>31</v>
      </c>
      <c r="E158" t="s">
        <v>27</v>
      </c>
      <c r="F158">
        <v>2</v>
      </c>
      <c r="G158" s="4">
        <v>23320</v>
      </c>
      <c r="H158" s="4">
        <f t="shared" si="2"/>
        <v>46640</v>
      </c>
      <c r="I158" t="s">
        <v>39</v>
      </c>
    </row>
    <row r="159" spans="1:9" x14ac:dyDescent="0.3">
      <c r="A159" t="s">
        <v>203</v>
      </c>
      <c r="B159" s="9">
        <v>46305</v>
      </c>
      <c r="C159" t="s">
        <v>62</v>
      </c>
      <c r="D159" t="s">
        <v>38</v>
      </c>
      <c r="E159" t="s">
        <v>27</v>
      </c>
      <c r="F159">
        <v>1</v>
      </c>
      <c r="G159" s="4">
        <v>3719</v>
      </c>
      <c r="H159" s="4">
        <f t="shared" si="2"/>
        <v>3719</v>
      </c>
      <c r="I159" t="s">
        <v>33</v>
      </c>
    </row>
    <row r="160" spans="1:9" x14ac:dyDescent="0.3">
      <c r="A160" t="s">
        <v>204</v>
      </c>
      <c r="B160" s="9">
        <v>46311</v>
      </c>
      <c r="C160" t="s">
        <v>30</v>
      </c>
      <c r="D160" t="s">
        <v>38</v>
      </c>
      <c r="E160" t="s">
        <v>27</v>
      </c>
      <c r="F160">
        <v>3</v>
      </c>
      <c r="G160" s="4">
        <v>15235</v>
      </c>
      <c r="H160" s="4">
        <f t="shared" si="2"/>
        <v>45705</v>
      </c>
      <c r="I160" t="s">
        <v>33</v>
      </c>
    </row>
    <row r="161" spans="1:9" x14ac:dyDescent="0.3">
      <c r="A161" t="s">
        <v>205</v>
      </c>
      <c r="B161" s="9">
        <v>46313</v>
      </c>
      <c r="C161" t="s">
        <v>62</v>
      </c>
      <c r="D161" t="s">
        <v>31</v>
      </c>
      <c r="E161" t="s">
        <v>27</v>
      </c>
      <c r="F161">
        <v>7</v>
      </c>
      <c r="G161" s="4">
        <v>23960</v>
      </c>
      <c r="H161" s="4">
        <f t="shared" si="2"/>
        <v>167720</v>
      </c>
      <c r="I161" t="s">
        <v>33</v>
      </c>
    </row>
    <row r="162" spans="1:9" x14ac:dyDescent="0.3">
      <c r="A162" t="s">
        <v>206</v>
      </c>
      <c r="B162" s="9">
        <v>46311</v>
      </c>
      <c r="C162" t="s">
        <v>62</v>
      </c>
      <c r="D162" t="s">
        <v>26</v>
      </c>
      <c r="E162" t="s">
        <v>46</v>
      </c>
      <c r="F162">
        <v>6</v>
      </c>
      <c r="G162" s="4">
        <v>15438</v>
      </c>
      <c r="H162" s="4">
        <f t="shared" si="2"/>
        <v>92628</v>
      </c>
      <c r="I162" t="s">
        <v>33</v>
      </c>
    </row>
    <row r="163" spans="1:9" x14ac:dyDescent="0.3">
      <c r="A163" t="s">
        <v>207</v>
      </c>
      <c r="B163" s="9">
        <v>46303</v>
      </c>
      <c r="C163" t="s">
        <v>44</v>
      </c>
      <c r="D163" t="s">
        <v>38</v>
      </c>
      <c r="E163" t="s">
        <v>49</v>
      </c>
      <c r="F163">
        <v>6</v>
      </c>
      <c r="G163" s="4">
        <v>498</v>
      </c>
      <c r="H163" s="4">
        <f t="shared" si="2"/>
        <v>2988</v>
      </c>
      <c r="I163" t="s">
        <v>33</v>
      </c>
    </row>
    <row r="164" spans="1:9" x14ac:dyDescent="0.3">
      <c r="A164" t="s">
        <v>208</v>
      </c>
      <c r="B164" s="9">
        <v>46302</v>
      </c>
      <c r="C164" t="s">
        <v>30</v>
      </c>
      <c r="D164" t="s">
        <v>41</v>
      </c>
      <c r="E164" t="s">
        <v>46</v>
      </c>
      <c r="F164">
        <v>4</v>
      </c>
      <c r="G164" s="4">
        <v>43254</v>
      </c>
      <c r="H164" s="4">
        <f t="shared" si="2"/>
        <v>173016</v>
      </c>
      <c r="I164" t="s">
        <v>28</v>
      </c>
    </row>
    <row r="165" spans="1:9" x14ac:dyDescent="0.3">
      <c r="A165" t="s">
        <v>209</v>
      </c>
      <c r="B165" s="9">
        <v>46296</v>
      </c>
      <c r="C165" t="s">
        <v>25</v>
      </c>
      <c r="D165" t="s">
        <v>26</v>
      </c>
      <c r="E165" t="s">
        <v>27</v>
      </c>
      <c r="F165">
        <v>3</v>
      </c>
      <c r="G165" s="4">
        <v>28287</v>
      </c>
      <c r="H165" s="4">
        <f t="shared" si="2"/>
        <v>84861</v>
      </c>
      <c r="I165" t="s">
        <v>33</v>
      </c>
    </row>
    <row r="166" spans="1:9" x14ac:dyDescent="0.3">
      <c r="A166" t="s">
        <v>210</v>
      </c>
      <c r="B166" s="9">
        <v>46298</v>
      </c>
      <c r="C166" t="s">
        <v>52</v>
      </c>
      <c r="D166" t="s">
        <v>31</v>
      </c>
      <c r="E166" t="s">
        <v>27</v>
      </c>
      <c r="F166">
        <v>4</v>
      </c>
      <c r="G166" s="4">
        <v>13266</v>
      </c>
      <c r="H166" s="4">
        <f t="shared" si="2"/>
        <v>53064</v>
      </c>
      <c r="I166" t="s">
        <v>39</v>
      </c>
    </row>
    <row r="167" spans="1:9" x14ac:dyDescent="0.3">
      <c r="A167" t="s">
        <v>211</v>
      </c>
      <c r="B167" s="9">
        <v>46296</v>
      </c>
      <c r="C167" t="s">
        <v>54</v>
      </c>
      <c r="D167" t="s">
        <v>36</v>
      </c>
      <c r="E167" t="s">
        <v>27</v>
      </c>
      <c r="F167">
        <v>5</v>
      </c>
      <c r="G167" s="4">
        <v>28665</v>
      </c>
      <c r="H167" s="4">
        <f t="shared" si="2"/>
        <v>143325</v>
      </c>
      <c r="I167" t="s">
        <v>33</v>
      </c>
    </row>
    <row r="168" spans="1:9" x14ac:dyDescent="0.3">
      <c r="A168" t="s">
        <v>212</v>
      </c>
      <c r="B168" s="9">
        <v>46296</v>
      </c>
      <c r="C168" t="s">
        <v>48</v>
      </c>
      <c r="D168" t="s">
        <v>38</v>
      </c>
      <c r="E168" t="s">
        <v>49</v>
      </c>
      <c r="F168">
        <v>4</v>
      </c>
      <c r="G168" s="4">
        <v>2661</v>
      </c>
      <c r="H168" s="4">
        <f t="shared" si="2"/>
        <v>10644</v>
      </c>
      <c r="I168" t="s">
        <v>33</v>
      </c>
    </row>
    <row r="169" spans="1:9" x14ac:dyDescent="0.3">
      <c r="A169" t="s">
        <v>213</v>
      </c>
      <c r="B169" s="9">
        <v>46301</v>
      </c>
      <c r="C169" t="s">
        <v>54</v>
      </c>
      <c r="D169" t="s">
        <v>38</v>
      </c>
      <c r="E169" t="s">
        <v>27</v>
      </c>
      <c r="F169">
        <v>7</v>
      </c>
      <c r="G169" s="4">
        <v>19738</v>
      </c>
      <c r="H169" s="4">
        <f t="shared" si="2"/>
        <v>138166</v>
      </c>
      <c r="I169" t="s">
        <v>33</v>
      </c>
    </row>
    <row r="170" spans="1:9" x14ac:dyDescent="0.3">
      <c r="A170" t="s">
        <v>214</v>
      </c>
      <c r="B170" s="9">
        <v>46298</v>
      </c>
      <c r="C170" t="s">
        <v>56</v>
      </c>
      <c r="D170" t="s">
        <v>41</v>
      </c>
      <c r="E170" t="s">
        <v>49</v>
      </c>
      <c r="F170">
        <v>2</v>
      </c>
      <c r="G170" s="4">
        <v>2101</v>
      </c>
      <c r="H170" s="4">
        <f t="shared" si="2"/>
        <v>4202</v>
      </c>
      <c r="I170" t="s">
        <v>33</v>
      </c>
    </row>
    <row r="171" spans="1:9" x14ac:dyDescent="0.3">
      <c r="A171" t="s">
        <v>215</v>
      </c>
      <c r="B171" s="9">
        <v>46297</v>
      </c>
      <c r="C171" t="s">
        <v>54</v>
      </c>
      <c r="D171" t="s">
        <v>41</v>
      </c>
      <c r="E171" t="s">
        <v>46</v>
      </c>
      <c r="F171">
        <v>1</v>
      </c>
      <c r="G171" s="4">
        <v>32590</v>
      </c>
      <c r="H171" s="4">
        <f t="shared" si="2"/>
        <v>32590</v>
      </c>
      <c r="I171" t="s">
        <v>39</v>
      </c>
    </row>
    <row r="172" spans="1:9" x14ac:dyDescent="0.3">
      <c r="A172" t="s">
        <v>216</v>
      </c>
      <c r="B172" s="9">
        <v>46309</v>
      </c>
      <c r="C172" t="s">
        <v>30</v>
      </c>
      <c r="D172" t="s">
        <v>41</v>
      </c>
      <c r="E172" t="s">
        <v>32</v>
      </c>
      <c r="F172">
        <v>2</v>
      </c>
      <c r="G172" s="4">
        <v>7566</v>
      </c>
      <c r="H172" s="4">
        <f t="shared" si="2"/>
        <v>15132</v>
      </c>
      <c r="I172" t="s">
        <v>33</v>
      </c>
    </row>
    <row r="173" spans="1:9" x14ac:dyDescent="0.3">
      <c r="A173" t="s">
        <v>217</v>
      </c>
      <c r="B173" s="9">
        <v>46300</v>
      </c>
      <c r="C173" t="s">
        <v>30</v>
      </c>
      <c r="D173" t="s">
        <v>36</v>
      </c>
      <c r="E173" t="s">
        <v>49</v>
      </c>
      <c r="F173">
        <v>6</v>
      </c>
      <c r="G173" s="4">
        <v>1810</v>
      </c>
      <c r="H173" s="4">
        <f t="shared" si="2"/>
        <v>10860</v>
      </c>
      <c r="I173" t="s">
        <v>79</v>
      </c>
    </row>
    <row r="174" spans="1:9" x14ac:dyDescent="0.3">
      <c r="A174" t="s">
        <v>218</v>
      </c>
      <c r="B174" s="9">
        <v>46312</v>
      </c>
      <c r="C174" t="s">
        <v>54</v>
      </c>
      <c r="D174" t="s">
        <v>41</v>
      </c>
      <c r="E174" t="s">
        <v>42</v>
      </c>
      <c r="F174">
        <v>7</v>
      </c>
      <c r="G174" s="4">
        <v>912</v>
      </c>
      <c r="H174" s="4">
        <f t="shared" si="2"/>
        <v>6384</v>
      </c>
      <c r="I174" t="s">
        <v>39</v>
      </c>
    </row>
    <row r="175" spans="1:9" x14ac:dyDescent="0.3">
      <c r="A175" t="s">
        <v>219</v>
      </c>
      <c r="B175" s="9">
        <v>46299</v>
      </c>
      <c r="C175" t="s">
        <v>52</v>
      </c>
      <c r="D175" t="s">
        <v>41</v>
      </c>
      <c r="E175" t="s">
        <v>32</v>
      </c>
      <c r="F175">
        <v>4</v>
      </c>
      <c r="G175" s="4">
        <v>3589</v>
      </c>
      <c r="H175" s="4">
        <f t="shared" si="2"/>
        <v>14356</v>
      </c>
      <c r="I175" t="s">
        <v>33</v>
      </c>
    </row>
    <row r="176" spans="1:9" x14ac:dyDescent="0.3">
      <c r="A176" t="s">
        <v>220</v>
      </c>
      <c r="B176" s="9">
        <v>46310</v>
      </c>
      <c r="C176" t="s">
        <v>62</v>
      </c>
      <c r="D176" t="s">
        <v>41</v>
      </c>
      <c r="E176" t="s">
        <v>46</v>
      </c>
      <c r="F176">
        <v>6</v>
      </c>
      <c r="G176" s="4">
        <v>29168</v>
      </c>
      <c r="H176" s="4">
        <f t="shared" si="2"/>
        <v>175008</v>
      </c>
      <c r="I176" t="s">
        <v>33</v>
      </c>
    </row>
    <row r="177" spans="1:9" x14ac:dyDescent="0.3">
      <c r="A177" t="s">
        <v>221</v>
      </c>
      <c r="B177" s="9">
        <v>46304</v>
      </c>
      <c r="C177" t="s">
        <v>44</v>
      </c>
      <c r="D177" t="s">
        <v>36</v>
      </c>
      <c r="E177" t="s">
        <v>32</v>
      </c>
      <c r="F177">
        <v>2</v>
      </c>
      <c r="G177" s="4">
        <v>947</v>
      </c>
      <c r="H177" s="4">
        <f t="shared" si="2"/>
        <v>1894</v>
      </c>
      <c r="I177" t="s">
        <v>39</v>
      </c>
    </row>
    <row r="178" spans="1:9" x14ac:dyDescent="0.3">
      <c r="A178" t="s">
        <v>222</v>
      </c>
      <c r="B178" s="9">
        <v>46298</v>
      </c>
      <c r="C178" t="s">
        <v>62</v>
      </c>
      <c r="D178" t="s">
        <v>38</v>
      </c>
      <c r="E178" t="s">
        <v>49</v>
      </c>
      <c r="F178">
        <v>3</v>
      </c>
      <c r="G178" s="4">
        <v>2528</v>
      </c>
      <c r="H178" s="4">
        <f t="shared" si="2"/>
        <v>7584</v>
      </c>
      <c r="I178" t="s">
        <v>33</v>
      </c>
    </row>
    <row r="179" spans="1:9" x14ac:dyDescent="0.3">
      <c r="A179" t="s">
        <v>223</v>
      </c>
      <c r="B179" s="9">
        <v>46313</v>
      </c>
      <c r="C179" t="s">
        <v>44</v>
      </c>
      <c r="D179" t="s">
        <v>38</v>
      </c>
      <c r="E179" t="s">
        <v>32</v>
      </c>
      <c r="F179">
        <v>6</v>
      </c>
      <c r="G179" s="4">
        <v>7356</v>
      </c>
      <c r="H179" s="4">
        <f t="shared" si="2"/>
        <v>44136</v>
      </c>
      <c r="I179" t="s">
        <v>28</v>
      </c>
    </row>
    <row r="180" spans="1:9" x14ac:dyDescent="0.3">
      <c r="A180" t="s">
        <v>224</v>
      </c>
      <c r="B180" s="9">
        <v>46309</v>
      </c>
      <c r="C180" t="s">
        <v>25</v>
      </c>
      <c r="D180" t="s">
        <v>26</v>
      </c>
      <c r="E180" t="s">
        <v>42</v>
      </c>
      <c r="F180">
        <v>5</v>
      </c>
      <c r="G180" s="4">
        <v>2980</v>
      </c>
      <c r="H180" s="4">
        <f t="shared" si="2"/>
        <v>14900</v>
      </c>
      <c r="I180" t="s">
        <v>33</v>
      </c>
    </row>
    <row r="181" spans="1:9" x14ac:dyDescent="0.3">
      <c r="A181" t="s">
        <v>225</v>
      </c>
      <c r="B181" s="9">
        <v>46312</v>
      </c>
      <c r="C181" t="s">
        <v>52</v>
      </c>
      <c r="D181" t="s">
        <v>36</v>
      </c>
      <c r="E181" t="s">
        <v>32</v>
      </c>
      <c r="F181">
        <v>4</v>
      </c>
      <c r="G181" s="4">
        <v>7140</v>
      </c>
      <c r="H181" s="4">
        <f t="shared" si="2"/>
        <v>28560</v>
      </c>
      <c r="I181" t="s">
        <v>33</v>
      </c>
    </row>
    <row r="182" spans="1:9" x14ac:dyDescent="0.3">
      <c r="A182" t="s">
        <v>226</v>
      </c>
      <c r="B182" s="9">
        <v>46313</v>
      </c>
      <c r="C182" t="s">
        <v>44</v>
      </c>
      <c r="D182" t="s">
        <v>38</v>
      </c>
      <c r="E182" t="s">
        <v>49</v>
      </c>
      <c r="F182">
        <v>4</v>
      </c>
      <c r="G182" s="4">
        <v>2007</v>
      </c>
      <c r="H182" s="4">
        <f t="shared" si="2"/>
        <v>8028</v>
      </c>
      <c r="I182" t="s">
        <v>39</v>
      </c>
    </row>
    <row r="183" spans="1:9" x14ac:dyDescent="0.3">
      <c r="A183" t="s">
        <v>227</v>
      </c>
      <c r="B183" s="9">
        <v>46313</v>
      </c>
      <c r="C183" t="s">
        <v>25</v>
      </c>
      <c r="D183" t="s">
        <v>31</v>
      </c>
      <c r="E183" t="s">
        <v>49</v>
      </c>
      <c r="F183">
        <v>1</v>
      </c>
      <c r="G183" s="4">
        <v>988</v>
      </c>
      <c r="H183" s="4">
        <f t="shared" si="2"/>
        <v>988</v>
      </c>
      <c r="I183" t="s">
        <v>33</v>
      </c>
    </row>
    <row r="184" spans="1:9" x14ac:dyDescent="0.3">
      <c r="A184" t="s">
        <v>228</v>
      </c>
      <c r="B184" s="9">
        <v>46305</v>
      </c>
      <c r="C184" t="s">
        <v>44</v>
      </c>
      <c r="D184" t="s">
        <v>26</v>
      </c>
      <c r="E184" t="s">
        <v>46</v>
      </c>
      <c r="F184">
        <v>3</v>
      </c>
      <c r="G184" s="4">
        <v>10588</v>
      </c>
      <c r="H184" s="4">
        <f t="shared" si="2"/>
        <v>31764</v>
      </c>
      <c r="I184" t="s">
        <v>33</v>
      </c>
    </row>
    <row r="185" spans="1:9" x14ac:dyDescent="0.3">
      <c r="A185" t="s">
        <v>229</v>
      </c>
      <c r="B185" s="9">
        <v>46308</v>
      </c>
      <c r="C185" t="s">
        <v>30</v>
      </c>
      <c r="D185" t="s">
        <v>36</v>
      </c>
      <c r="E185" t="s">
        <v>46</v>
      </c>
      <c r="F185">
        <v>2</v>
      </c>
      <c r="G185" s="4">
        <v>35965</v>
      </c>
      <c r="H185" s="4">
        <f t="shared" si="2"/>
        <v>71930</v>
      </c>
      <c r="I185" t="s">
        <v>33</v>
      </c>
    </row>
    <row r="186" spans="1:9" x14ac:dyDescent="0.3">
      <c r="A186" t="s">
        <v>230</v>
      </c>
      <c r="B186" s="9">
        <v>46309</v>
      </c>
      <c r="C186" t="s">
        <v>56</v>
      </c>
      <c r="D186" t="s">
        <v>26</v>
      </c>
      <c r="E186" t="s">
        <v>27</v>
      </c>
      <c r="F186">
        <v>6</v>
      </c>
      <c r="G186" s="4">
        <v>12711</v>
      </c>
      <c r="H186" s="4">
        <f t="shared" si="2"/>
        <v>76266</v>
      </c>
      <c r="I186" t="s">
        <v>28</v>
      </c>
    </row>
    <row r="187" spans="1:9" x14ac:dyDescent="0.3">
      <c r="A187" t="s">
        <v>231</v>
      </c>
      <c r="B187" s="9">
        <v>46298</v>
      </c>
      <c r="C187" t="s">
        <v>25</v>
      </c>
      <c r="D187" t="s">
        <v>36</v>
      </c>
      <c r="E187" t="s">
        <v>27</v>
      </c>
      <c r="F187">
        <v>1</v>
      </c>
      <c r="G187" s="4">
        <v>24584</v>
      </c>
      <c r="H187" s="4">
        <f t="shared" si="2"/>
        <v>24584</v>
      </c>
      <c r="I187" t="s">
        <v>33</v>
      </c>
    </row>
    <row r="188" spans="1:9" x14ac:dyDescent="0.3">
      <c r="A188" t="s">
        <v>232</v>
      </c>
      <c r="B188" s="9">
        <v>46310</v>
      </c>
      <c r="C188" t="s">
        <v>62</v>
      </c>
      <c r="D188" t="s">
        <v>41</v>
      </c>
      <c r="E188" t="s">
        <v>42</v>
      </c>
      <c r="F188">
        <v>8</v>
      </c>
      <c r="G188" s="4">
        <v>3492</v>
      </c>
      <c r="H188" s="4">
        <f t="shared" si="2"/>
        <v>27936</v>
      </c>
      <c r="I188" t="s">
        <v>33</v>
      </c>
    </row>
    <row r="189" spans="1:9" x14ac:dyDescent="0.3">
      <c r="A189" t="s">
        <v>233</v>
      </c>
      <c r="B189" s="9">
        <v>46312</v>
      </c>
      <c r="C189" t="s">
        <v>30</v>
      </c>
      <c r="D189" t="s">
        <v>26</v>
      </c>
      <c r="E189" t="s">
        <v>32</v>
      </c>
      <c r="F189">
        <v>2</v>
      </c>
      <c r="G189" s="4">
        <v>2520</v>
      </c>
      <c r="H189" s="4">
        <f t="shared" si="2"/>
        <v>5040</v>
      </c>
      <c r="I189" t="s">
        <v>28</v>
      </c>
    </row>
    <row r="190" spans="1:9" x14ac:dyDescent="0.3">
      <c r="A190" t="s">
        <v>234</v>
      </c>
      <c r="B190" s="9">
        <v>46311</v>
      </c>
      <c r="C190" t="s">
        <v>54</v>
      </c>
      <c r="D190" t="s">
        <v>38</v>
      </c>
      <c r="E190" t="s">
        <v>27</v>
      </c>
      <c r="F190">
        <v>7</v>
      </c>
      <c r="G190" s="4">
        <v>22138</v>
      </c>
      <c r="H190" s="4">
        <f t="shared" si="2"/>
        <v>154966</v>
      </c>
      <c r="I190" t="s">
        <v>33</v>
      </c>
    </row>
    <row r="191" spans="1:9" x14ac:dyDescent="0.3">
      <c r="A191" t="s">
        <v>235</v>
      </c>
      <c r="B191" s="9">
        <v>46302</v>
      </c>
      <c r="C191" t="s">
        <v>54</v>
      </c>
      <c r="D191" t="s">
        <v>36</v>
      </c>
      <c r="E191" t="s">
        <v>27</v>
      </c>
      <c r="F191">
        <v>5</v>
      </c>
      <c r="G191" s="4">
        <v>11984</v>
      </c>
      <c r="H191" s="4">
        <f t="shared" si="2"/>
        <v>59920</v>
      </c>
      <c r="I191" t="s">
        <v>33</v>
      </c>
    </row>
    <row r="192" spans="1:9" x14ac:dyDescent="0.3">
      <c r="A192" t="s">
        <v>236</v>
      </c>
      <c r="B192" s="9">
        <v>46296</v>
      </c>
      <c r="C192" t="s">
        <v>56</v>
      </c>
      <c r="D192" t="s">
        <v>41</v>
      </c>
      <c r="E192" t="s">
        <v>27</v>
      </c>
      <c r="F192">
        <v>3</v>
      </c>
      <c r="G192" s="4">
        <v>14958</v>
      </c>
      <c r="H192" s="4">
        <f t="shared" si="2"/>
        <v>44874</v>
      </c>
      <c r="I192" t="s">
        <v>33</v>
      </c>
    </row>
    <row r="193" spans="1:9" x14ac:dyDescent="0.3">
      <c r="A193" t="s">
        <v>237</v>
      </c>
      <c r="B193" s="9">
        <v>46303</v>
      </c>
      <c r="C193" t="s">
        <v>44</v>
      </c>
      <c r="D193" t="s">
        <v>38</v>
      </c>
      <c r="E193" t="s">
        <v>32</v>
      </c>
      <c r="F193">
        <v>1</v>
      </c>
      <c r="G193" s="4">
        <v>3773</v>
      </c>
      <c r="H193" s="4">
        <f t="shared" si="2"/>
        <v>3773</v>
      </c>
      <c r="I193" t="s">
        <v>33</v>
      </c>
    </row>
    <row r="194" spans="1:9" x14ac:dyDescent="0.3">
      <c r="A194" t="s">
        <v>238</v>
      </c>
      <c r="B194" s="9">
        <v>46298</v>
      </c>
      <c r="C194" t="s">
        <v>44</v>
      </c>
      <c r="D194" t="s">
        <v>31</v>
      </c>
      <c r="E194" t="s">
        <v>32</v>
      </c>
      <c r="F194">
        <v>7</v>
      </c>
      <c r="G194" s="4">
        <v>6012</v>
      </c>
      <c r="H194" s="4">
        <f t="shared" ref="H194:H257" si="3">F194*G194</f>
        <v>42084</v>
      </c>
      <c r="I194" t="s">
        <v>28</v>
      </c>
    </row>
    <row r="195" spans="1:9" x14ac:dyDescent="0.3">
      <c r="A195" t="s">
        <v>239</v>
      </c>
      <c r="B195" s="9">
        <v>46305</v>
      </c>
      <c r="C195" t="s">
        <v>30</v>
      </c>
      <c r="D195" t="s">
        <v>41</v>
      </c>
      <c r="E195" t="s">
        <v>46</v>
      </c>
      <c r="F195">
        <v>6</v>
      </c>
      <c r="G195" s="4">
        <v>12463</v>
      </c>
      <c r="H195" s="4">
        <f t="shared" si="3"/>
        <v>74778</v>
      </c>
      <c r="I195" t="s">
        <v>39</v>
      </c>
    </row>
    <row r="196" spans="1:9" x14ac:dyDescent="0.3">
      <c r="A196" t="s">
        <v>240</v>
      </c>
      <c r="B196" s="9">
        <v>46310</v>
      </c>
      <c r="C196" t="s">
        <v>44</v>
      </c>
      <c r="D196" t="s">
        <v>38</v>
      </c>
      <c r="E196" t="s">
        <v>32</v>
      </c>
      <c r="F196">
        <v>2</v>
      </c>
      <c r="G196" s="4">
        <v>2193</v>
      </c>
      <c r="H196" s="4">
        <f t="shared" si="3"/>
        <v>4386</v>
      </c>
      <c r="I196" t="s">
        <v>33</v>
      </c>
    </row>
    <row r="197" spans="1:9" x14ac:dyDescent="0.3">
      <c r="A197" t="s">
        <v>241</v>
      </c>
      <c r="B197" s="9">
        <v>46308</v>
      </c>
      <c r="C197" t="s">
        <v>30</v>
      </c>
      <c r="D197" t="s">
        <v>41</v>
      </c>
      <c r="E197" t="s">
        <v>49</v>
      </c>
      <c r="F197">
        <v>6</v>
      </c>
      <c r="G197" s="4">
        <v>1157</v>
      </c>
      <c r="H197" s="4">
        <f t="shared" si="3"/>
        <v>6942</v>
      </c>
      <c r="I197" t="s">
        <v>33</v>
      </c>
    </row>
    <row r="198" spans="1:9" x14ac:dyDescent="0.3">
      <c r="A198" t="s">
        <v>242</v>
      </c>
      <c r="B198" s="9">
        <v>46301</v>
      </c>
      <c r="C198" t="s">
        <v>30</v>
      </c>
      <c r="D198" t="s">
        <v>31</v>
      </c>
      <c r="E198" t="s">
        <v>46</v>
      </c>
      <c r="F198">
        <v>4</v>
      </c>
      <c r="G198" s="4">
        <v>24096</v>
      </c>
      <c r="H198" s="4">
        <f t="shared" si="3"/>
        <v>96384</v>
      </c>
      <c r="I198" t="s">
        <v>33</v>
      </c>
    </row>
    <row r="199" spans="1:9" x14ac:dyDescent="0.3">
      <c r="A199" t="s">
        <v>243</v>
      </c>
      <c r="B199" s="9">
        <v>46300</v>
      </c>
      <c r="C199" t="s">
        <v>52</v>
      </c>
      <c r="D199" t="s">
        <v>38</v>
      </c>
      <c r="E199" t="s">
        <v>27</v>
      </c>
      <c r="F199">
        <v>5</v>
      </c>
      <c r="G199" s="4">
        <v>8964</v>
      </c>
      <c r="H199" s="4">
        <f t="shared" si="3"/>
        <v>44820</v>
      </c>
      <c r="I199" t="s">
        <v>33</v>
      </c>
    </row>
    <row r="200" spans="1:9" x14ac:dyDescent="0.3">
      <c r="A200" t="s">
        <v>244</v>
      </c>
      <c r="B200" s="9">
        <v>46300</v>
      </c>
      <c r="C200" t="s">
        <v>30</v>
      </c>
      <c r="D200" t="s">
        <v>36</v>
      </c>
      <c r="E200" t="s">
        <v>32</v>
      </c>
      <c r="F200">
        <v>8</v>
      </c>
      <c r="G200" s="4">
        <v>6380</v>
      </c>
      <c r="H200" s="4">
        <f t="shared" si="3"/>
        <v>51040</v>
      </c>
      <c r="I200" t="s">
        <v>33</v>
      </c>
    </row>
    <row r="201" spans="1:9" x14ac:dyDescent="0.3">
      <c r="A201" t="s">
        <v>245</v>
      </c>
      <c r="B201" s="9">
        <v>46310</v>
      </c>
      <c r="C201" t="s">
        <v>44</v>
      </c>
      <c r="D201" t="s">
        <v>26</v>
      </c>
      <c r="E201" t="s">
        <v>27</v>
      </c>
      <c r="F201">
        <v>8</v>
      </c>
      <c r="G201" s="4">
        <v>4737</v>
      </c>
      <c r="H201" s="4">
        <f t="shared" si="3"/>
        <v>37896</v>
      </c>
      <c r="I201" t="s">
        <v>33</v>
      </c>
    </row>
    <row r="202" spans="1:9" x14ac:dyDescent="0.3">
      <c r="A202" t="s">
        <v>246</v>
      </c>
      <c r="B202" s="9">
        <v>46305</v>
      </c>
      <c r="C202" t="s">
        <v>54</v>
      </c>
      <c r="D202" t="s">
        <v>31</v>
      </c>
      <c r="E202" t="s">
        <v>46</v>
      </c>
      <c r="F202">
        <v>6</v>
      </c>
      <c r="G202" s="4">
        <v>34448</v>
      </c>
      <c r="H202" s="4">
        <f t="shared" si="3"/>
        <v>206688</v>
      </c>
      <c r="I202" t="s">
        <v>33</v>
      </c>
    </row>
    <row r="203" spans="1:9" x14ac:dyDescent="0.3">
      <c r="A203" t="s">
        <v>247</v>
      </c>
      <c r="B203" s="9">
        <v>46310</v>
      </c>
      <c r="C203" t="s">
        <v>56</v>
      </c>
      <c r="D203" t="s">
        <v>38</v>
      </c>
      <c r="E203" t="s">
        <v>46</v>
      </c>
      <c r="F203">
        <v>6</v>
      </c>
      <c r="G203" s="4">
        <v>20013</v>
      </c>
      <c r="H203" s="4">
        <f t="shared" si="3"/>
        <v>120078</v>
      </c>
      <c r="I203" t="s">
        <v>33</v>
      </c>
    </row>
    <row r="204" spans="1:9" x14ac:dyDescent="0.3">
      <c r="A204" t="s">
        <v>248</v>
      </c>
      <c r="B204" s="9">
        <v>46298</v>
      </c>
      <c r="C204" t="s">
        <v>62</v>
      </c>
      <c r="D204" t="s">
        <v>41</v>
      </c>
      <c r="E204" t="s">
        <v>42</v>
      </c>
      <c r="F204">
        <v>1</v>
      </c>
      <c r="G204" s="4">
        <v>3784</v>
      </c>
      <c r="H204" s="4">
        <f t="shared" si="3"/>
        <v>3784</v>
      </c>
      <c r="I204" t="s">
        <v>39</v>
      </c>
    </row>
    <row r="205" spans="1:9" x14ac:dyDescent="0.3">
      <c r="A205" t="s">
        <v>249</v>
      </c>
      <c r="B205" s="9">
        <v>46302</v>
      </c>
      <c r="C205" t="s">
        <v>44</v>
      </c>
      <c r="D205" t="s">
        <v>31</v>
      </c>
      <c r="E205" t="s">
        <v>32</v>
      </c>
      <c r="F205">
        <v>3</v>
      </c>
      <c r="G205" s="4">
        <v>706</v>
      </c>
      <c r="H205" s="4">
        <f t="shared" si="3"/>
        <v>2118</v>
      </c>
      <c r="I205" t="s">
        <v>33</v>
      </c>
    </row>
    <row r="206" spans="1:9" x14ac:dyDescent="0.3">
      <c r="A206" t="s">
        <v>250</v>
      </c>
      <c r="B206" s="9">
        <v>46306</v>
      </c>
      <c r="C206" t="s">
        <v>30</v>
      </c>
      <c r="D206" t="s">
        <v>31</v>
      </c>
      <c r="E206" t="s">
        <v>27</v>
      </c>
      <c r="F206">
        <v>1</v>
      </c>
      <c r="G206" s="4">
        <v>10618</v>
      </c>
      <c r="H206" s="4">
        <f t="shared" si="3"/>
        <v>10618</v>
      </c>
      <c r="I206" t="s">
        <v>28</v>
      </c>
    </row>
    <row r="207" spans="1:9" x14ac:dyDescent="0.3">
      <c r="A207" t="s">
        <v>251</v>
      </c>
      <c r="B207" s="9">
        <v>46310</v>
      </c>
      <c r="C207" t="s">
        <v>48</v>
      </c>
      <c r="D207" t="s">
        <v>26</v>
      </c>
      <c r="E207" t="s">
        <v>49</v>
      </c>
      <c r="F207">
        <v>5</v>
      </c>
      <c r="G207" s="4">
        <v>1836</v>
      </c>
      <c r="H207" s="4">
        <f t="shared" si="3"/>
        <v>9180</v>
      </c>
      <c r="I207" t="s">
        <v>33</v>
      </c>
    </row>
    <row r="208" spans="1:9" x14ac:dyDescent="0.3">
      <c r="A208" t="s">
        <v>252</v>
      </c>
      <c r="B208" s="9">
        <v>46306</v>
      </c>
      <c r="C208" t="s">
        <v>25</v>
      </c>
      <c r="D208" t="s">
        <v>26</v>
      </c>
      <c r="E208" t="s">
        <v>46</v>
      </c>
      <c r="F208">
        <v>6</v>
      </c>
      <c r="G208" s="4">
        <v>7393</v>
      </c>
      <c r="H208" s="4">
        <f t="shared" si="3"/>
        <v>44358</v>
      </c>
      <c r="I208" t="s">
        <v>33</v>
      </c>
    </row>
    <row r="209" spans="1:9" x14ac:dyDescent="0.3">
      <c r="A209" t="s">
        <v>253</v>
      </c>
      <c r="B209" s="9">
        <v>46308</v>
      </c>
      <c r="C209" t="s">
        <v>54</v>
      </c>
      <c r="D209" t="s">
        <v>26</v>
      </c>
      <c r="E209" t="s">
        <v>42</v>
      </c>
      <c r="F209">
        <v>3</v>
      </c>
      <c r="G209" s="4">
        <v>2830</v>
      </c>
      <c r="H209" s="4">
        <f t="shared" si="3"/>
        <v>8490</v>
      </c>
      <c r="I209" t="s">
        <v>33</v>
      </c>
    </row>
    <row r="210" spans="1:9" x14ac:dyDescent="0.3">
      <c r="A210" t="s">
        <v>254</v>
      </c>
      <c r="B210" s="9">
        <v>46300</v>
      </c>
      <c r="C210" t="s">
        <v>44</v>
      </c>
      <c r="D210" t="s">
        <v>26</v>
      </c>
      <c r="E210" t="s">
        <v>32</v>
      </c>
      <c r="F210">
        <v>3</v>
      </c>
      <c r="G210" s="4">
        <v>5074</v>
      </c>
      <c r="H210" s="4">
        <f t="shared" si="3"/>
        <v>15222</v>
      </c>
      <c r="I210" t="s">
        <v>28</v>
      </c>
    </row>
    <row r="211" spans="1:9" x14ac:dyDescent="0.3">
      <c r="A211" t="s">
        <v>255</v>
      </c>
      <c r="B211" s="9">
        <v>46298</v>
      </c>
      <c r="C211" t="s">
        <v>54</v>
      </c>
      <c r="D211" t="s">
        <v>31</v>
      </c>
      <c r="E211" t="s">
        <v>32</v>
      </c>
      <c r="F211">
        <v>6</v>
      </c>
      <c r="G211" s="4">
        <v>6861</v>
      </c>
      <c r="H211" s="4">
        <f t="shared" si="3"/>
        <v>41166</v>
      </c>
      <c r="I211" t="s">
        <v>33</v>
      </c>
    </row>
    <row r="212" spans="1:9" x14ac:dyDescent="0.3">
      <c r="A212" t="s">
        <v>256</v>
      </c>
      <c r="B212" s="9">
        <v>46312</v>
      </c>
      <c r="C212" t="s">
        <v>30</v>
      </c>
      <c r="D212" t="s">
        <v>41</v>
      </c>
      <c r="E212" t="s">
        <v>42</v>
      </c>
      <c r="F212">
        <v>6</v>
      </c>
      <c r="G212" s="4">
        <v>249</v>
      </c>
      <c r="H212" s="4">
        <f t="shared" si="3"/>
        <v>1494</v>
      </c>
      <c r="I212" t="s">
        <v>33</v>
      </c>
    </row>
    <row r="213" spans="1:9" x14ac:dyDescent="0.3">
      <c r="A213" t="s">
        <v>257</v>
      </c>
      <c r="B213" s="9">
        <v>46301</v>
      </c>
      <c r="C213" t="s">
        <v>52</v>
      </c>
      <c r="D213" t="s">
        <v>26</v>
      </c>
      <c r="E213" t="s">
        <v>32</v>
      </c>
      <c r="F213">
        <v>4</v>
      </c>
      <c r="G213" s="4">
        <v>2055</v>
      </c>
      <c r="H213" s="4">
        <f t="shared" si="3"/>
        <v>8220</v>
      </c>
      <c r="I213" t="s">
        <v>79</v>
      </c>
    </row>
    <row r="214" spans="1:9" x14ac:dyDescent="0.3">
      <c r="A214" t="s">
        <v>258</v>
      </c>
      <c r="B214" s="9">
        <v>46300</v>
      </c>
      <c r="C214" t="s">
        <v>30</v>
      </c>
      <c r="D214" t="s">
        <v>26</v>
      </c>
      <c r="E214" t="s">
        <v>46</v>
      </c>
      <c r="F214">
        <v>1</v>
      </c>
      <c r="G214" s="4">
        <v>44580</v>
      </c>
      <c r="H214" s="4">
        <f t="shared" si="3"/>
        <v>44580</v>
      </c>
      <c r="I214" t="s">
        <v>33</v>
      </c>
    </row>
    <row r="215" spans="1:9" x14ac:dyDescent="0.3">
      <c r="A215" t="s">
        <v>259</v>
      </c>
      <c r="B215" s="9">
        <v>46300</v>
      </c>
      <c r="C215" t="s">
        <v>62</v>
      </c>
      <c r="D215" t="s">
        <v>36</v>
      </c>
      <c r="E215" t="s">
        <v>27</v>
      </c>
      <c r="F215">
        <v>3</v>
      </c>
      <c r="G215" s="4">
        <v>29741</v>
      </c>
      <c r="H215" s="4">
        <f t="shared" si="3"/>
        <v>89223</v>
      </c>
      <c r="I215" t="s">
        <v>28</v>
      </c>
    </row>
    <row r="216" spans="1:9" x14ac:dyDescent="0.3">
      <c r="A216" t="s">
        <v>260</v>
      </c>
      <c r="B216" s="9">
        <v>46301</v>
      </c>
      <c r="C216" t="s">
        <v>56</v>
      </c>
      <c r="D216" t="s">
        <v>38</v>
      </c>
      <c r="E216" t="s">
        <v>32</v>
      </c>
      <c r="F216">
        <v>6</v>
      </c>
      <c r="G216" s="4">
        <v>5740</v>
      </c>
      <c r="H216" s="4">
        <f t="shared" si="3"/>
        <v>34440</v>
      </c>
      <c r="I216" t="s">
        <v>28</v>
      </c>
    </row>
    <row r="217" spans="1:9" x14ac:dyDescent="0.3">
      <c r="A217" t="s">
        <v>261</v>
      </c>
      <c r="B217" s="9">
        <v>46310</v>
      </c>
      <c r="C217" t="s">
        <v>54</v>
      </c>
      <c r="D217" t="s">
        <v>41</v>
      </c>
      <c r="E217" t="s">
        <v>27</v>
      </c>
      <c r="F217">
        <v>4</v>
      </c>
      <c r="G217" s="4">
        <v>12640</v>
      </c>
      <c r="H217" s="4">
        <f t="shared" si="3"/>
        <v>50560</v>
      </c>
      <c r="I217" t="s">
        <v>79</v>
      </c>
    </row>
    <row r="218" spans="1:9" x14ac:dyDescent="0.3">
      <c r="A218" t="s">
        <v>262</v>
      </c>
      <c r="B218" s="9">
        <v>46311</v>
      </c>
      <c r="C218" t="s">
        <v>52</v>
      </c>
      <c r="D218" t="s">
        <v>26</v>
      </c>
      <c r="E218" t="s">
        <v>42</v>
      </c>
      <c r="F218">
        <v>8</v>
      </c>
      <c r="G218" s="4">
        <v>3882</v>
      </c>
      <c r="H218" s="4">
        <f t="shared" si="3"/>
        <v>31056</v>
      </c>
      <c r="I218" t="s">
        <v>39</v>
      </c>
    </row>
    <row r="219" spans="1:9" x14ac:dyDescent="0.3">
      <c r="A219" t="s">
        <v>263</v>
      </c>
      <c r="B219" s="9">
        <v>46308</v>
      </c>
      <c r="C219" t="s">
        <v>62</v>
      </c>
      <c r="D219" t="s">
        <v>36</v>
      </c>
      <c r="E219" t="s">
        <v>27</v>
      </c>
      <c r="F219">
        <v>3</v>
      </c>
      <c r="G219" s="4">
        <v>10692</v>
      </c>
      <c r="H219" s="4">
        <f t="shared" si="3"/>
        <v>32076</v>
      </c>
      <c r="I219" t="s">
        <v>33</v>
      </c>
    </row>
    <row r="220" spans="1:9" x14ac:dyDescent="0.3">
      <c r="A220" t="s">
        <v>264</v>
      </c>
      <c r="B220" s="9">
        <v>46311</v>
      </c>
      <c r="C220" t="s">
        <v>44</v>
      </c>
      <c r="D220" t="s">
        <v>31</v>
      </c>
      <c r="E220" t="s">
        <v>46</v>
      </c>
      <c r="F220">
        <v>2</v>
      </c>
      <c r="G220" s="4">
        <v>19881</v>
      </c>
      <c r="H220" s="4">
        <f t="shared" si="3"/>
        <v>39762</v>
      </c>
      <c r="I220" t="s">
        <v>33</v>
      </c>
    </row>
    <row r="221" spans="1:9" x14ac:dyDescent="0.3">
      <c r="A221" t="s">
        <v>265</v>
      </c>
      <c r="B221" s="9">
        <v>46301</v>
      </c>
      <c r="C221" t="s">
        <v>54</v>
      </c>
      <c r="D221" t="s">
        <v>41</v>
      </c>
      <c r="E221" t="s">
        <v>42</v>
      </c>
      <c r="F221">
        <v>3</v>
      </c>
      <c r="G221" s="4">
        <v>3683</v>
      </c>
      <c r="H221" s="4">
        <f t="shared" si="3"/>
        <v>11049</v>
      </c>
      <c r="I221" t="s">
        <v>33</v>
      </c>
    </row>
    <row r="222" spans="1:9" x14ac:dyDescent="0.3">
      <c r="A222" t="s">
        <v>266</v>
      </c>
      <c r="B222" s="9">
        <v>46303</v>
      </c>
      <c r="C222" t="s">
        <v>56</v>
      </c>
      <c r="D222" t="s">
        <v>26</v>
      </c>
      <c r="E222" t="s">
        <v>46</v>
      </c>
      <c r="F222">
        <v>7</v>
      </c>
      <c r="G222" s="4">
        <v>4690</v>
      </c>
      <c r="H222" s="4">
        <f t="shared" si="3"/>
        <v>32830</v>
      </c>
      <c r="I222" t="s">
        <v>33</v>
      </c>
    </row>
    <row r="223" spans="1:9" x14ac:dyDescent="0.3">
      <c r="A223" t="s">
        <v>267</v>
      </c>
      <c r="B223" s="9">
        <v>46307</v>
      </c>
      <c r="C223" t="s">
        <v>52</v>
      </c>
      <c r="D223" t="s">
        <v>41</v>
      </c>
      <c r="E223" t="s">
        <v>46</v>
      </c>
      <c r="F223">
        <v>6</v>
      </c>
      <c r="G223" s="4">
        <v>15915</v>
      </c>
      <c r="H223" s="4">
        <f t="shared" si="3"/>
        <v>95490</v>
      </c>
      <c r="I223" t="s">
        <v>33</v>
      </c>
    </row>
    <row r="224" spans="1:9" x14ac:dyDescent="0.3">
      <c r="A224" t="s">
        <v>268</v>
      </c>
      <c r="B224" s="9">
        <v>46299</v>
      </c>
      <c r="C224" t="s">
        <v>44</v>
      </c>
      <c r="D224" t="s">
        <v>36</v>
      </c>
      <c r="E224" t="s">
        <v>27</v>
      </c>
      <c r="F224">
        <v>1</v>
      </c>
      <c r="G224" s="4">
        <v>11900</v>
      </c>
      <c r="H224" s="4">
        <f t="shared" si="3"/>
        <v>11900</v>
      </c>
      <c r="I224" t="s">
        <v>39</v>
      </c>
    </row>
    <row r="225" spans="1:9" x14ac:dyDescent="0.3">
      <c r="A225" t="s">
        <v>269</v>
      </c>
      <c r="B225" s="9">
        <v>46311</v>
      </c>
      <c r="C225" t="s">
        <v>48</v>
      </c>
      <c r="D225" t="s">
        <v>41</v>
      </c>
      <c r="E225" t="s">
        <v>32</v>
      </c>
      <c r="F225">
        <v>1</v>
      </c>
      <c r="G225" s="4">
        <v>7620</v>
      </c>
      <c r="H225" s="4">
        <f t="shared" si="3"/>
        <v>7620</v>
      </c>
      <c r="I225" t="s">
        <v>33</v>
      </c>
    </row>
    <row r="226" spans="1:9" x14ac:dyDescent="0.3">
      <c r="A226" t="s">
        <v>270</v>
      </c>
      <c r="B226" s="9">
        <v>46304</v>
      </c>
      <c r="C226" t="s">
        <v>52</v>
      </c>
      <c r="D226" t="s">
        <v>36</v>
      </c>
      <c r="E226" t="s">
        <v>42</v>
      </c>
      <c r="F226">
        <v>7</v>
      </c>
      <c r="G226" s="4">
        <v>1010</v>
      </c>
      <c r="H226" s="4">
        <f t="shared" si="3"/>
        <v>7070</v>
      </c>
      <c r="I226" t="s">
        <v>39</v>
      </c>
    </row>
    <row r="227" spans="1:9" x14ac:dyDescent="0.3">
      <c r="A227" t="s">
        <v>271</v>
      </c>
      <c r="B227" s="9">
        <v>46303</v>
      </c>
      <c r="C227" t="s">
        <v>54</v>
      </c>
      <c r="D227" t="s">
        <v>38</v>
      </c>
      <c r="E227" t="s">
        <v>46</v>
      </c>
      <c r="F227">
        <v>4</v>
      </c>
      <c r="G227" s="4">
        <v>28713</v>
      </c>
      <c r="H227" s="4">
        <f t="shared" si="3"/>
        <v>114852</v>
      </c>
      <c r="I227" t="s">
        <v>28</v>
      </c>
    </row>
    <row r="228" spans="1:9" x14ac:dyDescent="0.3">
      <c r="A228" t="s">
        <v>272</v>
      </c>
      <c r="B228" s="9">
        <v>46310</v>
      </c>
      <c r="C228" t="s">
        <v>30</v>
      </c>
      <c r="D228" t="s">
        <v>38</v>
      </c>
      <c r="E228" t="s">
        <v>32</v>
      </c>
      <c r="F228">
        <v>1</v>
      </c>
      <c r="G228" s="4">
        <v>5376</v>
      </c>
      <c r="H228" s="4">
        <f t="shared" si="3"/>
        <v>5376</v>
      </c>
      <c r="I228" t="s">
        <v>33</v>
      </c>
    </row>
    <row r="229" spans="1:9" x14ac:dyDescent="0.3">
      <c r="A229" t="s">
        <v>273</v>
      </c>
      <c r="B229" s="9">
        <v>46303</v>
      </c>
      <c r="C229" t="s">
        <v>48</v>
      </c>
      <c r="D229" t="s">
        <v>26</v>
      </c>
      <c r="E229" t="s">
        <v>32</v>
      </c>
      <c r="F229">
        <v>1</v>
      </c>
      <c r="G229" s="4">
        <v>5236</v>
      </c>
      <c r="H229" s="4">
        <f t="shared" si="3"/>
        <v>5236</v>
      </c>
      <c r="I229" t="s">
        <v>33</v>
      </c>
    </row>
    <row r="230" spans="1:9" x14ac:dyDescent="0.3">
      <c r="A230" t="s">
        <v>274</v>
      </c>
      <c r="B230" s="9">
        <v>46309</v>
      </c>
      <c r="C230" t="s">
        <v>48</v>
      </c>
      <c r="D230" t="s">
        <v>38</v>
      </c>
      <c r="E230" t="s">
        <v>42</v>
      </c>
      <c r="F230">
        <v>6</v>
      </c>
      <c r="G230" s="4">
        <v>654</v>
      </c>
      <c r="H230" s="4">
        <f t="shared" si="3"/>
        <v>3924</v>
      </c>
      <c r="I230" t="s">
        <v>79</v>
      </c>
    </row>
    <row r="231" spans="1:9" x14ac:dyDescent="0.3">
      <c r="A231" t="s">
        <v>275</v>
      </c>
      <c r="B231" s="9">
        <v>46313</v>
      </c>
      <c r="C231" t="s">
        <v>25</v>
      </c>
      <c r="D231" t="s">
        <v>41</v>
      </c>
      <c r="E231" t="s">
        <v>32</v>
      </c>
      <c r="F231">
        <v>1</v>
      </c>
      <c r="G231" s="4">
        <v>5407</v>
      </c>
      <c r="H231" s="4">
        <f t="shared" si="3"/>
        <v>5407</v>
      </c>
      <c r="I231" t="s">
        <v>33</v>
      </c>
    </row>
    <row r="232" spans="1:9" x14ac:dyDescent="0.3">
      <c r="A232" t="s">
        <v>276</v>
      </c>
      <c r="B232" s="9">
        <v>46307</v>
      </c>
      <c r="C232" t="s">
        <v>54</v>
      </c>
      <c r="D232" t="s">
        <v>38</v>
      </c>
      <c r="E232" t="s">
        <v>49</v>
      </c>
      <c r="F232">
        <v>2</v>
      </c>
      <c r="G232" s="4">
        <v>1662</v>
      </c>
      <c r="H232" s="4">
        <f t="shared" si="3"/>
        <v>3324</v>
      </c>
      <c r="I232" t="s">
        <v>33</v>
      </c>
    </row>
    <row r="233" spans="1:9" x14ac:dyDescent="0.3">
      <c r="A233" t="s">
        <v>277</v>
      </c>
      <c r="B233" s="9">
        <v>46299</v>
      </c>
      <c r="C233" t="s">
        <v>44</v>
      </c>
      <c r="D233" t="s">
        <v>36</v>
      </c>
      <c r="E233" t="s">
        <v>46</v>
      </c>
      <c r="F233">
        <v>6</v>
      </c>
      <c r="G233" s="4">
        <v>36983</v>
      </c>
      <c r="H233" s="4">
        <f t="shared" si="3"/>
        <v>221898</v>
      </c>
      <c r="I233" t="s">
        <v>33</v>
      </c>
    </row>
    <row r="234" spans="1:9" x14ac:dyDescent="0.3">
      <c r="A234" t="s">
        <v>278</v>
      </c>
      <c r="B234" s="9">
        <v>46301</v>
      </c>
      <c r="C234" t="s">
        <v>56</v>
      </c>
      <c r="D234" t="s">
        <v>41</v>
      </c>
      <c r="E234" t="s">
        <v>27</v>
      </c>
      <c r="F234">
        <v>3</v>
      </c>
      <c r="G234" s="4">
        <v>4567</v>
      </c>
      <c r="H234" s="4">
        <f t="shared" si="3"/>
        <v>13701</v>
      </c>
      <c r="I234" t="s">
        <v>28</v>
      </c>
    </row>
    <row r="235" spans="1:9" x14ac:dyDescent="0.3">
      <c r="A235" t="s">
        <v>279</v>
      </c>
      <c r="B235" s="9">
        <v>46310</v>
      </c>
      <c r="C235" t="s">
        <v>25</v>
      </c>
      <c r="D235" t="s">
        <v>26</v>
      </c>
      <c r="E235" t="s">
        <v>27</v>
      </c>
      <c r="F235">
        <v>1</v>
      </c>
      <c r="G235" s="4">
        <v>28423</v>
      </c>
      <c r="H235" s="4">
        <f t="shared" si="3"/>
        <v>28423</v>
      </c>
      <c r="I235" t="s">
        <v>33</v>
      </c>
    </row>
    <row r="236" spans="1:9" x14ac:dyDescent="0.3">
      <c r="A236" t="s">
        <v>280</v>
      </c>
      <c r="B236" s="9">
        <v>46297</v>
      </c>
      <c r="C236" t="s">
        <v>44</v>
      </c>
      <c r="D236" t="s">
        <v>26</v>
      </c>
      <c r="E236" t="s">
        <v>42</v>
      </c>
      <c r="F236">
        <v>7</v>
      </c>
      <c r="G236" s="4">
        <v>4548</v>
      </c>
      <c r="H236" s="4">
        <f t="shared" si="3"/>
        <v>31836</v>
      </c>
      <c r="I236" t="s">
        <v>33</v>
      </c>
    </row>
    <row r="237" spans="1:9" x14ac:dyDescent="0.3">
      <c r="A237" t="s">
        <v>281</v>
      </c>
      <c r="B237" s="9">
        <v>46297</v>
      </c>
      <c r="C237" t="s">
        <v>52</v>
      </c>
      <c r="D237" t="s">
        <v>26</v>
      </c>
      <c r="E237" t="s">
        <v>49</v>
      </c>
      <c r="F237">
        <v>1</v>
      </c>
      <c r="G237" s="4">
        <v>2935</v>
      </c>
      <c r="H237" s="4">
        <f t="shared" si="3"/>
        <v>2935</v>
      </c>
      <c r="I237" t="s">
        <v>33</v>
      </c>
    </row>
    <row r="238" spans="1:9" x14ac:dyDescent="0.3">
      <c r="A238" t="s">
        <v>282</v>
      </c>
      <c r="B238" s="9">
        <v>46299</v>
      </c>
      <c r="C238" t="s">
        <v>44</v>
      </c>
      <c r="D238" t="s">
        <v>41</v>
      </c>
      <c r="E238" t="s">
        <v>32</v>
      </c>
      <c r="F238">
        <v>8</v>
      </c>
      <c r="G238" s="4">
        <v>7528</v>
      </c>
      <c r="H238" s="4">
        <f t="shared" si="3"/>
        <v>60224</v>
      </c>
      <c r="I238" t="s">
        <v>79</v>
      </c>
    </row>
    <row r="239" spans="1:9" x14ac:dyDescent="0.3">
      <c r="A239" t="s">
        <v>283</v>
      </c>
      <c r="B239" s="9">
        <v>46306</v>
      </c>
      <c r="C239" t="s">
        <v>48</v>
      </c>
      <c r="D239" t="s">
        <v>41</v>
      </c>
      <c r="E239" t="s">
        <v>32</v>
      </c>
      <c r="F239">
        <v>6</v>
      </c>
      <c r="G239" s="4">
        <v>7771</v>
      </c>
      <c r="H239" s="4">
        <f t="shared" si="3"/>
        <v>46626</v>
      </c>
      <c r="I239" t="s">
        <v>39</v>
      </c>
    </row>
    <row r="240" spans="1:9" x14ac:dyDescent="0.3">
      <c r="A240" t="s">
        <v>284</v>
      </c>
      <c r="B240" s="9">
        <v>46304</v>
      </c>
      <c r="C240" t="s">
        <v>30</v>
      </c>
      <c r="D240" t="s">
        <v>41</v>
      </c>
      <c r="E240" t="s">
        <v>46</v>
      </c>
      <c r="F240">
        <v>7</v>
      </c>
      <c r="G240" s="4">
        <v>40682</v>
      </c>
      <c r="H240" s="4">
        <f t="shared" si="3"/>
        <v>284774</v>
      </c>
      <c r="I240" t="s">
        <v>79</v>
      </c>
    </row>
    <row r="241" spans="1:9" x14ac:dyDescent="0.3">
      <c r="A241" t="s">
        <v>285</v>
      </c>
      <c r="B241" s="9">
        <v>46301</v>
      </c>
      <c r="C241" t="s">
        <v>54</v>
      </c>
      <c r="D241" t="s">
        <v>26</v>
      </c>
      <c r="E241" t="s">
        <v>46</v>
      </c>
      <c r="F241">
        <v>2</v>
      </c>
      <c r="G241" s="4">
        <v>22690</v>
      </c>
      <c r="H241" s="4">
        <f t="shared" si="3"/>
        <v>45380</v>
      </c>
      <c r="I241" t="s">
        <v>28</v>
      </c>
    </row>
    <row r="242" spans="1:9" x14ac:dyDescent="0.3">
      <c r="A242" t="s">
        <v>286</v>
      </c>
      <c r="B242" s="9">
        <v>46305</v>
      </c>
      <c r="C242" t="s">
        <v>56</v>
      </c>
      <c r="D242" t="s">
        <v>31</v>
      </c>
      <c r="E242" t="s">
        <v>32</v>
      </c>
      <c r="F242">
        <v>3</v>
      </c>
      <c r="G242" s="4">
        <v>5850</v>
      </c>
      <c r="H242" s="4">
        <f t="shared" si="3"/>
        <v>17550</v>
      </c>
      <c r="I242" t="s">
        <v>33</v>
      </c>
    </row>
    <row r="243" spans="1:9" x14ac:dyDescent="0.3">
      <c r="A243" t="s">
        <v>287</v>
      </c>
      <c r="B243" s="9">
        <v>46310</v>
      </c>
      <c r="C243" t="s">
        <v>25</v>
      </c>
      <c r="D243" t="s">
        <v>26</v>
      </c>
      <c r="E243" t="s">
        <v>42</v>
      </c>
      <c r="F243">
        <v>7</v>
      </c>
      <c r="G243" s="4">
        <v>2349</v>
      </c>
      <c r="H243" s="4">
        <f t="shared" si="3"/>
        <v>16443</v>
      </c>
      <c r="I243" t="s">
        <v>28</v>
      </c>
    </row>
    <row r="244" spans="1:9" x14ac:dyDescent="0.3">
      <c r="A244" t="s">
        <v>288</v>
      </c>
      <c r="B244" s="9">
        <v>46297</v>
      </c>
      <c r="C244" t="s">
        <v>30</v>
      </c>
      <c r="D244" t="s">
        <v>41</v>
      </c>
      <c r="E244" t="s">
        <v>49</v>
      </c>
      <c r="F244">
        <v>3</v>
      </c>
      <c r="G244" s="4">
        <v>377</v>
      </c>
      <c r="H244" s="4">
        <f t="shared" si="3"/>
        <v>1131</v>
      </c>
      <c r="I244" t="s">
        <v>33</v>
      </c>
    </row>
    <row r="245" spans="1:9" x14ac:dyDescent="0.3">
      <c r="A245" t="s">
        <v>289</v>
      </c>
      <c r="B245" s="9">
        <v>46310</v>
      </c>
      <c r="C245" t="s">
        <v>25</v>
      </c>
      <c r="D245" t="s">
        <v>36</v>
      </c>
      <c r="E245" t="s">
        <v>46</v>
      </c>
      <c r="F245">
        <v>4</v>
      </c>
      <c r="G245" s="4">
        <v>43481</v>
      </c>
      <c r="H245" s="4">
        <f t="shared" si="3"/>
        <v>173924</v>
      </c>
      <c r="I245" t="s">
        <v>33</v>
      </c>
    </row>
    <row r="246" spans="1:9" x14ac:dyDescent="0.3">
      <c r="A246" t="s">
        <v>290</v>
      </c>
      <c r="B246" s="9">
        <v>46308</v>
      </c>
      <c r="C246" t="s">
        <v>25</v>
      </c>
      <c r="D246" t="s">
        <v>31</v>
      </c>
      <c r="E246" t="s">
        <v>27</v>
      </c>
      <c r="F246">
        <v>8</v>
      </c>
      <c r="G246" s="4">
        <v>14655</v>
      </c>
      <c r="H246" s="4">
        <f t="shared" si="3"/>
        <v>117240</v>
      </c>
      <c r="I246" t="s">
        <v>33</v>
      </c>
    </row>
    <row r="247" spans="1:9" x14ac:dyDescent="0.3">
      <c r="A247" t="s">
        <v>291</v>
      </c>
      <c r="B247" s="9">
        <v>46298</v>
      </c>
      <c r="C247" t="s">
        <v>48</v>
      </c>
      <c r="D247" t="s">
        <v>31</v>
      </c>
      <c r="E247" t="s">
        <v>49</v>
      </c>
      <c r="F247">
        <v>7</v>
      </c>
      <c r="G247" s="4">
        <v>1537</v>
      </c>
      <c r="H247" s="4">
        <f t="shared" si="3"/>
        <v>10759</v>
      </c>
      <c r="I247" t="s">
        <v>28</v>
      </c>
    </row>
    <row r="248" spans="1:9" x14ac:dyDescent="0.3">
      <c r="A248" t="s">
        <v>292</v>
      </c>
      <c r="B248" s="9">
        <v>46303</v>
      </c>
      <c r="C248" t="s">
        <v>30</v>
      </c>
      <c r="D248" t="s">
        <v>38</v>
      </c>
      <c r="E248" t="s">
        <v>27</v>
      </c>
      <c r="F248">
        <v>8</v>
      </c>
      <c r="G248" s="4">
        <v>19465</v>
      </c>
      <c r="H248" s="4">
        <f t="shared" si="3"/>
        <v>155720</v>
      </c>
      <c r="I248" t="s">
        <v>33</v>
      </c>
    </row>
    <row r="249" spans="1:9" x14ac:dyDescent="0.3">
      <c r="A249" t="s">
        <v>293</v>
      </c>
      <c r="B249" s="9">
        <v>46313</v>
      </c>
      <c r="C249" t="s">
        <v>30</v>
      </c>
      <c r="D249" t="s">
        <v>26</v>
      </c>
      <c r="E249" t="s">
        <v>49</v>
      </c>
      <c r="F249">
        <v>8</v>
      </c>
      <c r="G249" s="4">
        <v>1128</v>
      </c>
      <c r="H249" s="4">
        <f t="shared" si="3"/>
        <v>9024</v>
      </c>
      <c r="I249" t="s">
        <v>79</v>
      </c>
    </row>
    <row r="250" spans="1:9" x14ac:dyDescent="0.3">
      <c r="A250" t="s">
        <v>294</v>
      </c>
      <c r="B250" s="9">
        <v>46305</v>
      </c>
      <c r="C250" t="s">
        <v>56</v>
      </c>
      <c r="D250" t="s">
        <v>36</v>
      </c>
      <c r="E250" t="s">
        <v>46</v>
      </c>
      <c r="F250">
        <v>3</v>
      </c>
      <c r="G250" s="4">
        <v>6053</v>
      </c>
      <c r="H250" s="4">
        <f t="shared" si="3"/>
        <v>18159</v>
      </c>
      <c r="I250" t="s">
        <v>33</v>
      </c>
    </row>
    <row r="251" spans="1:9" x14ac:dyDescent="0.3">
      <c r="A251" t="s">
        <v>295</v>
      </c>
      <c r="B251" s="9">
        <v>46310</v>
      </c>
      <c r="C251" t="s">
        <v>30</v>
      </c>
      <c r="D251" t="s">
        <v>26</v>
      </c>
      <c r="E251" t="s">
        <v>49</v>
      </c>
      <c r="F251">
        <v>2</v>
      </c>
      <c r="G251" s="4">
        <v>2502</v>
      </c>
      <c r="H251" s="4">
        <f t="shared" si="3"/>
        <v>5004</v>
      </c>
      <c r="I251" t="s">
        <v>33</v>
      </c>
    </row>
    <row r="252" spans="1:9" x14ac:dyDescent="0.3">
      <c r="A252" t="s">
        <v>296</v>
      </c>
      <c r="B252" s="9">
        <v>46305</v>
      </c>
      <c r="C252" t="s">
        <v>48</v>
      </c>
      <c r="D252" t="s">
        <v>36</v>
      </c>
      <c r="E252" t="s">
        <v>49</v>
      </c>
      <c r="F252">
        <v>4</v>
      </c>
      <c r="G252" s="4">
        <v>747</v>
      </c>
      <c r="H252" s="4">
        <f t="shared" si="3"/>
        <v>2988</v>
      </c>
      <c r="I252" t="s">
        <v>79</v>
      </c>
    </row>
    <row r="253" spans="1:9" x14ac:dyDescent="0.3">
      <c r="A253" t="s">
        <v>297</v>
      </c>
      <c r="B253" s="9">
        <v>46300</v>
      </c>
      <c r="C253" t="s">
        <v>52</v>
      </c>
      <c r="D253" t="s">
        <v>41</v>
      </c>
      <c r="E253" t="s">
        <v>46</v>
      </c>
      <c r="F253">
        <v>6</v>
      </c>
      <c r="G253" s="4">
        <v>37508</v>
      </c>
      <c r="H253" s="4">
        <f t="shared" si="3"/>
        <v>225048</v>
      </c>
      <c r="I253" t="s">
        <v>33</v>
      </c>
    </row>
    <row r="254" spans="1:9" x14ac:dyDescent="0.3">
      <c r="A254" t="s">
        <v>298</v>
      </c>
      <c r="B254" s="9">
        <v>46310</v>
      </c>
      <c r="C254" t="s">
        <v>48</v>
      </c>
      <c r="D254" t="s">
        <v>31</v>
      </c>
      <c r="E254" t="s">
        <v>46</v>
      </c>
      <c r="F254">
        <v>2</v>
      </c>
      <c r="G254" s="4">
        <v>21469</v>
      </c>
      <c r="H254" s="4">
        <f t="shared" si="3"/>
        <v>42938</v>
      </c>
      <c r="I254" t="s">
        <v>33</v>
      </c>
    </row>
    <row r="255" spans="1:9" x14ac:dyDescent="0.3">
      <c r="A255" t="s">
        <v>299</v>
      </c>
      <c r="B255" s="9">
        <v>46311</v>
      </c>
      <c r="C255" t="s">
        <v>62</v>
      </c>
      <c r="D255" t="s">
        <v>41</v>
      </c>
      <c r="E255" t="s">
        <v>42</v>
      </c>
      <c r="F255">
        <v>2</v>
      </c>
      <c r="G255" s="4">
        <v>1126</v>
      </c>
      <c r="H255" s="4">
        <f t="shared" si="3"/>
        <v>2252</v>
      </c>
      <c r="I255" t="s">
        <v>79</v>
      </c>
    </row>
    <row r="256" spans="1:9" x14ac:dyDescent="0.3">
      <c r="A256" t="s">
        <v>300</v>
      </c>
      <c r="B256" s="9">
        <v>46298</v>
      </c>
      <c r="C256" t="s">
        <v>56</v>
      </c>
      <c r="D256" t="s">
        <v>41</v>
      </c>
      <c r="E256" t="s">
        <v>42</v>
      </c>
      <c r="F256">
        <v>6</v>
      </c>
      <c r="G256" s="4">
        <v>1151</v>
      </c>
      <c r="H256" s="4">
        <f t="shared" si="3"/>
        <v>6906</v>
      </c>
      <c r="I256" t="s">
        <v>39</v>
      </c>
    </row>
    <row r="257" spans="1:9" x14ac:dyDescent="0.3">
      <c r="A257" t="s">
        <v>301</v>
      </c>
      <c r="B257" s="9">
        <v>46313</v>
      </c>
      <c r="C257" t="s">
        <v>48</v>
      </c>
      <c r="D257" t="s">
        <v>36</v>
      </c>
      <c r="E257" t="s">
        <v>32</v>
      </c>
      <c r="F257">
        <v>1</v>
      </c>
      <c r="G257" s="4">
        <v>7010</v>
      </c>
      <c r="H257" s="4">
        <f t="shared" si="3"/>
        <v>7010</v>
      </c>
      <c r="I257" t="s">
        <v>33</v>
      </c>
    </row>
    <row r="258" spans="1:9" x14ac:dyDescent="0.3">
      <c r="A258" t="s">
        <v>302</v>
      </c>
      <c r="B258" s="9">
        <v>46300</v>
      </c>
      <c r="C258" t="s">
        <v>54</v>
      </c>
      <c r="D258" t="s">
        <v>36</v>
      </c>
      <c r="E258" t="s">
        <v>27</v>
      </c>
      <c r="F258">
        <v>6</v>
      </c>
      <c r="G258" s="4">
        <v>25743</v>
      </c>
      <c r="H258" s="4">
        <f t="shared" ref="H258:H321" si="4">F258*G258</f>
        <v>154458</v>
      </c>
      <c r="I258" t="s">
        <v>33</v>
      </c>
    </row>
    <row r="259" spans="1:9" x14ac:dyDescent="0.3">
      <c r="A259" t="s">
        <v>303</v>
      </c>
      <c r="B259" s="9">
        <v>46312</v>
      </c>
      <c r="C259" t="s">
        <v>54</v>
      </c>
      <c r="D259" t="s">
        <v>38</v>
      </c>
      <c r="E259" t="s">
        <v>49</v>
      </c>
      <c r="F259">
        <v>4</v>
      </c>
      <c r="G259" s="4">
        <v>2851</v>
      </c>
      <c r="H259" s="4">
        <f t="shared" si="4"/>
        <v>11404</v>
      </c>
      <c r="I259" t="s">
        <v>79</v>
      </c>
    </row>
    <row r="260" spans="1:9" x14ac:dyDescent="0.3">
      <c r="A260" t="s">
        <v>304</v>
      </c>
      <c r="B260" s="9">
        <v>46304</v>
      </c>
      <c r="C260" t="s">
        <v>48</v>
      </c>
      <c r="D260" t="s">
        <v>26</v>
      </c>
      <c r="E260" t="s">
        <v>42</v>
      </c>
      <c r="F260">
        <v>2</v>
      </c>
      <c r="G260" s="4">
        <v>4217</v>
      </c>
      <c r="H260" s="4">
        <f t="shared" si="4"/>
        <v>8434</v>
      </c>
      <c r="I260" t="s">
        <v>28</v>
      </c>
    </row>
    <row r="261" spans="1:9" x14ac:dyDescent="0.3">
      <c r="A261" t="s">
        <v>305</v>
      </c>
      <c r="B261" s="9">
        <v>46300</v>
      </c>
      <c r="C261" t="s">
        <v>48</v>
      </c>
      <c r="D261" t="s">
        <v>31</v>
      </c>
      <c r="E261" t="s">
        <v>42</v>
      </c>
      <c r="F261">
        <v>6</v>
      </c>
      <c r="G261" s="4">
        <v>4717</v>
      </c>
      <c r="H261" s="4">
        <f t="shared" si="4"/>
        <v>28302</v>
      </c>
      <c r="I261" t="s">
        <v>33</v>
      </c>
    </row>
    <row r="262" spans="1:9" x14ac:dyDescent="0.3">
      <c r="A262" t="s">
        <v>306</v>
      </c>
      <c r="B262" s="9">
        <v>46296</v>
      </c>
      <c r="C262" t="s">
        <v>30</v>
      </c>
      <c r="D262" t="s">
        <v>38</v>
      </c>
      <c r="E262" t="s">
        <v>42</v>
      </c>
      <c r="F262">
        <v>5</v>
      </c>
      <c r="G262" s="4">
        <v>5434</v>
      </c>
      <c r="H262" s="4">
        <f t="shared" si="4"/>
        <v>27170</v>
      </c>
      <c r="I262" t="s">
        <v>33</v>
      </c>
    </row>
    <row r="263" spans="1:9" x14ac:dyDescent="0.3">
      <c r="A263" t="s">
        <v>307</v>
      </c>
      <c r="B263" s="9">
        <v>46309</v>
      </c>
      <c r="C263" t="s">
        <v>25</v>
      </c>
      <c r="D263" t="s">
        <v>41</v>
      </c>
      <c r="E263" t="s">
        <v>42</v>
      </c>
      <c r="F263">
        <v>5</v>
      </c>
      <c r="G263" s="4">
        <v>5358</v>
      </c>
      <c r="H263" s="4">
        <f t="shared" si="4"/>
        <v>26790</v>
      </c>
      <c r="I263" t="s">
        <v>79</v>
      </c>
    </row>
    <row r="264" spans="1:9" x14ac:dyDescent="0.3">
      <c r="A264" t="s">
        <v>308</v>
      </c>
      <c r="B264" s="9">
        <v>46311</v>
      </c>
      <c r="C264" t="s">
        <v>52</v>
      </c>
      <c r="D264" t="s">
        <v>41</v>
      </c>
      <c r="E264" t="s">
        <v>49</v>
      </c>
      <c r="F264">
        <v>8</v>
      </c>
      <c r="G264" s="4">
        <v>548</v>
      </c>
      <c r="H264" s="4">
        <f t="shared" si="4"/>
        <v>4384</v>
      </c>
      <c r="I264" t="s">
        <v>28</v>
      </c>
    </row>
    <row r="265" spans="1:9" x14ac:dyDescent="0.3">
      <c r="A265" t="s">
        <v>309</v>
      </c>
      <c r="B265" s="9">
        <v>46301</v>
      </c>
      <c r="C265" t="s">
        <v>56</v>
      </c>
      <c r="D265" t="s">
        <v>41</v>
      </c>
      <c r="E265" t="s">
        <v>32</v>
      </c>
      <c r="F265">
        <v>8</v>
      </c>
      <c r="G265" s="4">
        <v>1871</v>
      </c>
      <c r="H265" s="4">
        <f t="shared" si="4"/>
        <v>14968</v>
      </c>
      <c r="I265" t="s">
        <v>33</v>
      </c>
    </row>
    <row r="266" spans="1:9" x14ac:dyDescent="0.3">
      <c r="A266" t="s">
        <v>310</v>
      </c>
      <c r="B266" s="9">
        <v>46300</v>
      </c>
      <c r="C266" t="s">
        <v>44</v>
      </c>
      <c r="D266" t="s">
        <v>26</v>
      </c>
      <c r="E266" t="s">
        <v>49</v>
      </c>
      <c r="F266">
        <v>7</v>
      </c>
      <c r="G266" s="4">
        <v>785</v>
      </c>
      <c r="H266" s="4">
        <f t="shared" si="4"/>
        <v>5495</v>
      </c>
      <c r="I266" t="s">
        <v>39</v>
      </c>
    </row>
    <row r="267" spans="1:9" x14ac:dyDescent="0.3">
      <c r="A267" t="s">
        <v>311</v>
      </c>
      <c r="B267" s="9">
        <v>46312</v>
      </c>
      <c r="C267" t="s">
        <v>30</v>
      </c>
      <c r="D267" t="s">
        <v>26</v>
      </c>
      <c r="E267" t="s">
        <v>27</v>
      </c>
      <c r="F267">
        <v>8</v>
      </c>
      <c r="G267" s="4">
        <v>6514</v>
      </c>
      <c r="H267" s="4">
        <f t="shared" si="4"/>
        <v>52112</v>
      </c>
      <c r="I267" t="s">
        <v>33</v>
      </c>
    </row>
    <row r="268" spans="1:9" x14ac:dyDescent="0.3">
      <c r="A268" t="s">
        <v>312</v>
      </c>
      <c r="B268" s="9">
        <v>46303</v>
      </c>
      <c r="C268" t="s">
        <v>48</v>
      </c>
      <c r="D268" t="s">
        <v>38</v>
      </c>
      <c r="E268" t="s">
        <v>46</v>
      </c>
      <c r="F268">
        <v>5</v>
      </c>
      <c r="G268" s="4">
        <v>26375</v>
      </c>
      <c r="H268" s="4">
        <f t="shared" si="4"/>
        <v>131875</v>
      </c>
      <c r="I268" t="s">
        <v>39</v>
      </c>
    </row>
    <row r="269" spans="1:9" x14ac:dyDescent="0.3">
      <c r="A269" t="s">
        <v>313</v>
      </c>
      <c r="B269" s="9">
        <v>46309</v>
      </c>
      <c r="C269" t="s">
        <v>52</v>
      </c>
      <c r="D269" t="s">
        <v>36</v>
      </c>
      <c r="E269" t="s">
        <v>49</v>
      </c>
      <c r="F269">
        <v>6</v>
      </c>
      <c r="G269" s="4">
        <v>1027</v>
      </c>
      <c r="H269" s="4">
        <f t="shared" si="4"/>
        <v>6162</v>
      </c>
      <c r="I269" t="s">
        <v>39</v>
      </c>
    </row>
    <row r="270" spans="1:9" x14ac:dyDescent="0.3">
      <c r="A270" t="s">
        <v>314</v>
      </c>
      <c r="B270" s="9">
        <v>46311</v>
      </c>
      <c r="C270" t="s">
        <v>56</v>
      </c>
      <c r="D270" t="s">
        <v>41</v>
      </c>
      <c r="E270" t="s">
        <v>49</v>
      </c>
      <c r="F270">
        <v>8</v>
      </c>
      <c r="G270" s="4">
        <v>344</v>
      </c>
      <c r="H270" s="4">
        <f t="shared" si="4"/>
        <v>2752</v>
      </c>
      <c r="I270" t="s">
        <v>33</v>
      </c>
    </row>
    <row r="271" spans="1:9" x14ac:dyDescent="0.3">
      <c r="A271" t="s">
        <v>315</v>
      </c>
      <c r="B271" s="9">
        <v>46308</v>
      </c>
      <c r="C271" t="s">
        <v>56</v>
      </c>
      <c r="D271" t="s">
        <v>36</v>
      </c>
      <c r="E271" t="s">
        <v>27</v>
      </c>
      <c r="F271">
        <v>6</v>
      </c>
      <c r="G271" s="4">
        <v>4094</v>
      </c>
      <c r="H271" s="4">
        <f t="shared" si="4"/>
        <v>24564</v>
      </c>
      <c r="I271" t="s">
        <v>33</v>
      </c>
    </row>
    <row r="272" spans="1:9" x14ac:dyDescent="0.3">
      <c r="A272" t="s">
        <v>316</v>
      </c>
      <c r="B272" s="9">
        <v>46311</v>
      </c>
      <c r="C272" t="s">
        <v>56</v>
      </c>
      <c r="D272" t="s">
        <v>26</v>
      </c>
      <c r="E272" t="s">
        <v>42</v>
      </c>
      <c r="F272">
        <v>1</v>
      </c>
      <c r="G272" s="4">
        <v>980</v>
      </c>
      <c r="H272" s="4">
        <f t="shared" si="4"/>
        <v>980</v>
      </c>
      <c r="I272" t="s">
        <v>33</v>
      </c>
    </row>
    <row r="273" spans="1:9" x14ac:dyDescent="0.3">
      <c r="A273" t="s">
        <v>317</v>
      </c>
      <c r="B273" s="9">
        <v>46304</v>
      </c>
      <c r="C273" t="s">
        <v>44</v>
      </c>
      <c r="D273" t="s">
        <v>41</v>
      </c>
      <c r="E273" t="s">
        <v>49</v>
      </c>
      <c r="F273">
        <v>1</v>
      </c>
      <c r="G273" s="4">
        <v>1890</v>
      </c>
      <c r="H273" s="4">
        <f t="shared" si="4"/>
        <v>1890</v>
      </c>
      <c r="I273" t="s">
        <v>33</v>
      </c>
    </row>
    <row r="274" spans="1:9" x14ac:dyDescent="0.3">
      <c r="A274" t="s">
        <v>318</v>
      </c>
      <c r="B274" s="9">
        <v>46313</v>
      </c>
      <c r="C274" t="s">
        <v>52</v>
      </c>
      <c r="D274" t="s">
        <v>26</v>
      </c>
      <c r="E274" t="s">
        <v>42</v>
      </c>
      <c r="F274">
        <v>5</v>
      </c>
      <c r="G274" s="4">
        <v>702</v>
      </c>
      <c r="H274" s="4">
        <f t="shared" si="4"/>
        <v>3510</v>
      </c>
      <c r="I274" t="s">
        <v>33</v>
      </c>
    </row>
    <row r="275" spans="1:9" x14ac:dyDescent="0.3">
      <c r="A275" t="s">
        <v>319</v>
      </c>
      <c r="B275" s="9">
        <v>46310</v>
      </c>
      <c r="C275" t="s">
        <v>54</v>
      </c>
      <c r="D275" t="s">
        <v>31</v>
      </c>
      <c r="E275" t="s">
        <v>42</v>
      </c>
      <c r="F275">
        <v>2</v>
      </c>
      <c r="G275" s="4">
        <v>1154</v>
      </c>
      <c r="H275" s="4">
        <f t="shared" si="4"/>
        <v>2308</v>
      </c>
      <c r="I275" t="s">
        <v>79</v>
      </c>
    </row>
    <row r="276" spans="1:9" x14ac:dyDescent="0.3">
      <c r="A276" t="s">
        <v>320</v>
      </c>
      <c r="B276" s="9">
        <v>46308</v>
      </c>
      <c r="C276" t="s">
        <v>44</v>
      </c>
      <c r="D276" t="s">
        <v>26</v>
      </c>
      <c r="E276" t="s">
        <v>42</v>
      </c>
      <c r="F276">
        <v>6</v>
      </c>
      <c r="G276" s="4">
        <v>1281</v>
      </c>
      <c r="H276" s="4">
        <f t="shared" si="4"/>
        <v>7686</v>
      </c>
      <c r="I276" t="s">
        <v>33</v>
      </c>
    </row>
    <row r="277" spans="1:9" x14ac:dyDescent="0.3">
      <c r="A277" t="s">
        <v>321</v>
      </c>
      <c r="B277" s="9">
        <v>46312</v>
      </c>
      <c r="C277" t="s">
        <v>62</v>
      </c>
      <c r="D277" t="s">
        <v>31</v>
      </c>
      <c r="E277" t="s">
        <v>46</v>
      </c>
      <c r="F277">
        <v>1</v>
      </c>
      <c r="G277" s="4">
        <v>3750</v>
      </c>
      <c r="H277" s="4">
        <f t="shared" si="4"/>
        <v>3750</v>
      </c>
      <c r="I277" t="s">
        <v>33</v>
      </c>
    </row>
    <row r="278" spans="1:9" x14ac:dyDescent="0.3">
      <c r="A278" t="s">
        <v>322</v>
      </c>
      <c r="B278" s="9">
        <v>46306</v>
      </c>
      <c r="C278" t="s">
        <v>56</v>
      </c>
      <c r="D278" t="s">
        <v>31</v>
      </c>
      <c r="E278" t="s">
        <v>32</v>
      </c>
      <c r="F278">
        <v>3</v>
      </c>
      <c r="G278" s="4">
        <v>5166</v>
      </c>
      <c r="H278" s="4">
        <f t="shared" si="4"/>
        <v>15498</v>
      </c>
      <c r="I278" t="s">
        <v>39</v>
      </c>
    </row>
    <row r="279" spans="1:9" x14ac:dyDescent="0.3">
      <c r="A279" t="s">
        <v>323</v>
      </c>
      <c r="B279" s="9">
        <v>46300</v>
      </c>
      <c r="C279" t="s">
        <v>44</v>
      </c>
      <c r="D279" t="s">
        <v>31</v>
      </c>
      <c r="E279" t="s">
        <v>49</v>
      </c>
      <c r="F279">
        <v>3</v>
      </c>
      <c r="G279" s="4">
        <v>1859</v>
      </c>
      <c r="H279" s="4">
        <f t="shared" si="4"/>
        <v>5577</v>
      </c>
      <c r="I279" t="s">
        <v>79</v>
      </c>
    </row>
    <row r="280" spans="1:9" x14ac:dyDescent="0.3">
      <c r="A280" t="s">
        <v>324</v>
      </c>
      <c r="B280" s="9">
        <v>46305</v>
      </c>
      <c r="C280" t="s">
        <v>44</v>
      </c>
      <c r="D280" t="s">
        <v>31</v>
      </c>
      <c r="E280" t="s">
        <v>42</v>
      </c>
      <c r="F280">
        <v>8</v>
      </c>
      <c r="G280" s="4">
        <v>4711</v>
      </c>
      <c r="H280" s="4">
        <f t="shared" si="4"/>
        <v>37688</v>
      </c>
      <c r="I280" t="s">
        <v>33</v>
      </c>
    </row>
    <row r="281" spans="1:9" x14ac:dyDescent="0.3">
      <c r="A281" t="s">
        <v>325</v>
      </c>
      <c r="B281" s="9">
        <v>46296</v>
      </c>
      <c r="C281" t="s">
        <v>44</v>
      </c>
      <c r="D281" t="s">
        <v>26</v>
      </c>
      <c r="E281" t="s">
        <v>46</v>
      </c>
      <c r="F281">
        <v>7</v>
      </c>
      <c r="G281" s="4">
        <v>39453</v>
      </c>
      <c r="H281" s="4">
        <f t="shared" si="4"/>
        <v>276171</v>
      </c>
      <c r="I281" t="s">
        <v>33</v>
      </c>
    </row>
    <row r="282" spans="1:9" x14ac:dyDescent="0.3">
      <c r="A282" t="s">
        <v>326</v>
      </c>
      <c r="B282" s="9">
        <v>46296</v>
      </c>
      <c r="C282" t="s">
        <v>56</v>
      </c>
      <c r="D282" t="s">
        <v>26</v>
      </c>
      <c r="E282" t="s">
        <v>42</v>
      </c>
      <c r="F282">
        <v>4</v>
      </c>
      <c r="G282" s="4">
        <v>520</v>
      </c>
      <c r="H282" s="4">
        <f t="shared" si="4"/>
        <v>2080</v>
      </c>
      <c r="I282" t="s">
        <v>33</v>
      </c>
    </row>
    <row r="283" spans="1:9" x14ac:dyDescent="0.3">
      <c r="A283" t="s">
        <v>327</v>
      </c>
      <c r="B283" s="9">
        <v>46301</v>
      </c>
      <c r="C283" t="s">
        <v>62</v>
      </c>
      <c r="D283" t="s">
        <v>36</v>
      </c>
      <c r="E283" t="s">
        <v>27</v>
      </c>
      <c r="F283">
        <v>1</v>
      </c>
      <c r="G283" s="4">
        <v>21261</v>
      </c>
      <c r="H283" s="4">
        <f t="shared" si="4"/>
        <v>21261</v>
      </c>
      <c r="I283" t="s">
        <v>39</v>
      </c>
    </row>
    <row r="284" spans="1:9" x14ac:dyDescent="0.3">
      <c r="A284" t="s">
        <v>328</v>
      </c>
      <c r="B284" s="9">
        <v>46299</v>
      </c>
      <c r="C284" t="s">
        <v>52</v>
      </c>
      <c r="D284" t="s">
        <v>38</v>
      </c>
      <c r="E284" t="s">
        <v>32</v>
      </c>
      <c r="F284">
        <v>6</v>
      </c>
      <c r="G284" s="4">
        <v>3630</v>
      </c>
      <c r="H284" s="4">
        <f t="shared" si="4"/>
        <v>21780</v>
      </c>
      <c r="I284" t="s">
        <v>33</v>
      </c>
    </row>
    <row r="285" spans="1:9" x14ac:dyDescent="0.3">
      <c r="A285" t="s">
        <v>329</v>
      </c>
      <c r="B285" s="9">
        <v>46302</v>
      </c>
      <c r="C285" t="s">
        <v>62</v>
      </c>
      <c r="D285" t="s">
        <v>31</v>
      </c>
      <c r="E285" t="s">
        <v>42</v>
      </c>
      <c r="F285">
        <v>8</v>
      </c>
      <c r="G285" s="4">
        <v>610</v>
      </c>
      <c r="H285" s="4">
        <f t="shared" si="4"/>
        <v>4880</v>
      </c>
      <c r="I285" t="s">
        <v>28</v>
      </c>
    </row>
    <row r="286" spans="1:9" x14ac:dyDescent="0.3">
      <c r="A286" t="s">
        <v>330</v>
      </c>
      <c r="B286" s="9">
        <v>46312</v>
      </c>
      <c r="C286" t="s">
        <v>52</v>
      </c>
      <c r="D286" t="s">
        <v>31</v>
      </c>
      <c r="E286" t="s">
        <v>49</v>
      </c>
      <c r="F286">
        <v>8</v>
      </c>
      <c r="G286" s="4">
        <v>2402</v>
      </c>
      <c r="H286" s="4">
        <f t="shared" si="4"/>
        <v>19216</v>
      </c>
      <c r="I286" t="s">
        <v>33</v>
      </c>
    </row>
    <row r="287" spans="1:9" x14ac:dyDescent="0.3">
      <c r="A287" t="s">
        <v>331</v>
      </c>
      <c r="B287" s="9">
        <v>46301</v>
      </c>
      <c r="C287" t="s">
        <v>56</v>
      </c>
      <c r="D287" t="s">
        <v>31</v>
      </c>
      <c r="E287" t="s">
        <v>49</v>
      </c>
      <c r="F287">
        <v>6</v>
      </c>
      <c r="G287" s="4">
        <v>3018</v>
      </c>
      <c r="H287" s="4">
        <f t="shared" si="4"/>
        <v>18108</v>
      </c>
      <c r="I287" t="s">
        <v>39</v>
      </c>
    </row>
    <row r="288" spans="1:9" x14ac:dyDescent="0.3">
      <c r="A288" t="s">
        <v>332</v>
      </c>
      <c r="B288" s="9">
        <v>46304</v>
      </c>
      <c r="C288" t="s">
        <v>56</v>
      </c>
      <c r="D288" t="s">
        <v>36</v>
      </c>
      <c r="E288" t="s">
        <v>27</v>
      </c>
      <c r="F288">
        <v>5</v>
      </c>
      <c r="G288" s="4">
        <v>20787</v>
      </c>
      <c r="H288" s="4">
        <f t="shared" si="4"/>
        <v>103935</v>
      </c>
      <c r="I288" t="s">
        <v>33</v>
      </c>
    </row>
    <row r="289" spans="1:9" x14ac:dyDescent="0.3">
      <c r="A289" t="s">
        <v>333</v>
      </c>
      <c r="B289" s="9">
        <v>46305</v>
      </c>
      <c r="C289" t="s">
        <v>54</v>
      </c>
      <c r="D289" t="s">
        <v>36</v>
      </c>
      <c r="E289" t="s">
        <v>32</v>
      </c>
      <c r="F289">
        <v>6</v>
      </c>
      <c r="G289" s="4">
        <v>4130</v>
      </c>
      <c r="H289" s="4">
        <f t="shared" si="4"/>
        <v>24780</v>
      </c>
      <c r="I289" t="s">
        <v>33</v>
      </c>
    </row>
    <row r="290" spans="1:9" x14ac:dyDescent="0.3">
      <c r="A290" t="s">
        <v>334</v>
      </c>
      <c r="B290" s="9">
        <v>46304</v>
      </c>
      <c r="C290" t="s">
        <v>54</v>
      </c>
      <c r="D290" t="s">
        <v>38</v>
      </c>
      <c r="E290" t="s">
        <v>42</v>
      </c>
      <c r="F290">
        <v>7</v>
      </c>
      <c r="G290" s="4">
        <v>3332</v>
      </c>
      <c r="H290" s="4">
        <f t="shared" si="4"/>
        <v>23324</v>
      </c>
      <c r="I290" t="s">
        <v>39</v>
      </c>
    </row>
    <row r="291" spans="1:9" x14ac:dyDescent="0.3">
      <c r="A291" t="s">
        <v>335</v>
      </c>
      <c r="B291" s="9">
        <v>46300</v>
      </c>
      <c r="C291" t="s">
        <v>54</v>
      </c>
      <c r="D291" t="s">
        <v>38</v>
      </c>
      <c r="E291" t="s">
        <v>49</v>
      </c>
      <c r="F291">
        <v>2</v>
      </c>
      <c r="G291" s="4">
        <v>1668</v>
      </c>
      <c r="H291" s="4">
        <f t="shared" si="4"/>
        <v>3336</v>
      </c>
      <c r="I291" t="s">
        <v>39</v>
      </c>
    </row>
    <row r="292" spans="1:9" x14ac:dyDescent="0.3">
      <c r="A292" t="s">
        <v>336</v>
      </c>
      <c r="B292" s="9">
        <v>46304</v>
      </c>
      <c r="C292" t="s">
        <v>56</v>
      </c>
      <c r="D292" t="s">
        <v>36</v>
      </c>
      <c r="E292" t="s">
        <v>27</v>
      </c>
      <c r="F292">
        <v>5</v>
      </c>
      <c r="G292" s="4">
        <v>20916</v>
      </c>
      <c r="H292" s="4">
        <f t="shared" si="4"/>
        <v>104580</v>
      </c>
      <c r="I292" t="s">
        <v>28</v>
      </c>
    </row>
    <row r="293" spans="1:9" x14ac:dyDescent="0.3">
      <c r="A293" t="s">
        <v>337</v>
      </c>
      <c r="B293" s="9">
        <v>46300</v>
      </c>
      <c r="C293" t="s">
        <v>30</v>
      </c>
      <c r="D293" t="s">
        <v>31</v>
      </c>
      <c r="E293" t="s">
        <v>42</v>
      </c>
      <c r="F293">
        <v>4</v>
      </c>
      <c r="G293" s="4">
        <v>2086</v>
      </c>
      <c r="H293" s="4">
        <f t="shared" si="4"/>
        <v>8344</v>
      </c>
      <c r="I293" t="s">
        <v>33</v>
      </c>
    </row>
    <row r="294" spans="1:9" x14ac:dyDescent="0.3">
      <c r="A294" t="s">
        <v>338</v>
      </c>
      <c r="B294" s="9">
        <v>46312</v>
      </c>
      <c r="C294" t="s">
        <v>52</v>
      </c>
      <c r="D294" t="s">
        <v>36</v>
      </c>
      <c r="E294" t="s">
        <v>46</v>
      </c>
      <c r="F294">
        <v>2</v>
      </c>
      <c r="G294" s="4">
        <v>28286</v>
      </c>
      <c r="H294" s="4">
        <f t="shared" si="4"/>
        <v>56572</v>
      </c>
      <c r="I294" t="s">
        <v>33</v>
      </c>
    </row>
    <row r="295" spans="1:9" x14ac:dyDescent="0.3">
      <c r="A295" t="s">
        <v>339</v>
      </c>
      <c r="B295" s="9">
        <v>46311</v>
      </c>
      <c r="C295" t="s">
        <v>30</v>
      </c>
      <c r="D295" t="s">
        <v>36</v>
      </c>
      <c r="E295" t="s">
        <v>46</v>
      </c>
      <c r="F295">
        <v>3</v>
      </c>
      <c r="G295" s="4">
        <v>27867</v>
      </c>
      <c r="H295" s="4">
        <f t="shared" si="4"/>
        <v>83601</v>
      </c>
      <c r="I295" t="s">
        <v>28</v>
      </c>
    </row>
    <row r="296" spans="1:9" x14ac:dyDescent="0.3">
      <c r="A296" t="s">
        <v>340</v>
      </c>
      <c r="B296" s="9">
        <v>46311</v>
      </c>
      <c r="C296" t="s">
        <v>56</v>
      </c>
      <c r="D296" t="s">
        <v>36</v>
      </c>
      <c r="E296" t="s">
        <v>49</v>
      </c>
      <c r="F296">
        <v>6</v>
      </c>
      <c r="G296" s="4">
        <v>1419</v>
      </c>
      <c r="H296" s="4">
        <f t="shared" si="4"/>
        <v>8514</v>
      </c>
      <c r="I296" t="s">
        <v>28</v>
      </c>
    </row>
    <row r="297" spans="1:9" x14ac:dyDescent="0.3">
      <c r="A297" t="s">
        <v>341</v>
      </c>
      <c r="B297" s="9">
        <v>46298</v>
      </c>
      <c r="C297" t="s">
        <v>52</v>
      </c>
      <c r="D297" t="s">
        <v>31</v>
      </c>
      <c r="E297" t="s">
        <v>46</v>
      </c>
      <c r="F297">
        <v>3</v>
      </c>
      <c r="G297" s="4">
        <v>28586</v>
      </c>
      <c r="H297" s="4">
        <f t="shared" si="4"/>
        <v>85758</v>
      </c>
      <c r="I297" t="s">
        <v>39</v>
      </c>
    </row>
    <row r="298" spans="1:9" x14ac:dyDescent="0.3">
      <c r="A298" t="s">
        <v>342</v>
      </c>
      <c r="B298" s="9">
        <v>46301</v>
      </c>
      <c r="C298" t="s">
        <v>25</v>
      </c>
      <c r="D298" t="s">
        <v>41</v>
      </c>
      <c r="E298" t="s">
        <v>32</v>
      </c>
      <c r="F298">
        <v>3</v>
      </c>
      <c r="G298" s="4">
        <v>7872</v>
      </c>
      <c r="H298" s="4">
        <f t="shared" si="4"/>
        <v>23616</v>
      </c>
      <c r="I298" t="s">
        <v>28</v>
      </c>
    </row>
    <row r="299" spans="1:9" x14ac:dyDescent="0.3">
      <c r="A299" t="s">
        <v>343</v>
      </c>
      <c r="B299" s="9">
        <v>46305</v>
      </c>
      <c r="C299" t="s">
        <v>25</v>
      </c>
      <c r="D299" t="s">
        <v>38</v>
      </c>
      <c r="E299" t="s">
        <v>49</v>
      </c>
      <c r="F299">
        <v>2</v>
      </c>
      <c r="G299" s="4">
        <v>1622</v>
      </c>
      <c r="H299" s="4">
        <f t="shared" si="4"/>
        <v>3244</v>
      </c>
      <c r="I299" t="s">
        <v>33</v>
      </c>
    </row>
    <row r="300" spans="1:9" x14ac:dyDescent="0.3">
      <c r="A300" t="s">
        <v>344</v>
      </c>
      <c r="B300" s="9">
        <v>46313</v>
      </c>
      <c r="C300" t="s">
        <v>56</v>
      </c>
      <c r="D300" t="s">
        <v>36</v>
      </c>
      <c r="E300" t="s">
        <v>42</v>
      </c>
      <c r="F300">
        <v>8</v>
      </c>
      <c r="G300" s="4">
        <v>2335</v>
      </c>
      <c r="H300" s="4">
        <f t="shared" si="4"/>
        <v>18680</v>
      </c>
      <c r="I300" t="s">
        <v>33</v>
      </c>
    </row>
    <row r="301" spans="1:9" x14ac:dyDescent="0.3">
      <c r="A301" t="s">
        <v>345</v>
      </c>
      <c r="B301" s="9">
        <v>46299</v>
      </c>
      <c r="C301" t="s">
        <v>44</v>
      </c>
      <c r="D301" t="s">
        <v>36</v>
      </c>
      <c r="E301" t="s">
        <v>32</v>
      </c>
      <c r="F301">
        <v>5</v>
      </c>
      <c r="G301" s="4">
        <v>6086</v>
      </c>
      <c r="H301" s="4">
        <f t="shared" si="4"/>
        <v>30430</v>
      </c>
      <c r="I301" t="s">
        <v>33</v>
      </c>
    </row>
    <row r="302" spans="1:9" x14ac:dyDescent="0.3">
      <c r="A302" t="s">
        <v>346</v>
      </c>
      <c r="B302" s="9">
        <v>46306</v>
      </c>
      <c r="C302" t="s">
        <v>54</v>
      </c>
      <c r="D302" t="s">
        <v>31</v>
      </c>
      <c r="E302" t="s">
        <v>27</v>
      </c>
      <c r="F302">
        <v>3</v>
      </c>
      <c r="G302" s="4">
        <v>22519</v>
      </c>
      <c r="H302" s="4">
        <f t="shared" si="4"/>
        <v>67557</v>
      </c>
      <c r="I302" t="s">
        <v>39</v>
      </c>
    </row>
    <row r="303" spans="1:9" x14ac:dyDescent="0.3">
      <c r="A303" t="s">
        <v>347</v>
      </c>
      <c r="B303" s="9">
        <v>46308</v>
      </c>
      <c r="C303" t="s">
        <v>62</v>
      </c>
      <c r="D303" t="s">
        <v>31</v>
      </c>
      <c r="E303" t="s">
        <v>49</v>
      </c>
      <c r="F303">
        <v>2</v>
      </c>
      <c r="G303" s="4">
        <v>1891</v>
      </c>
      <c r="H303" s="4">
        <f t="shared" si="4"/>
        <v>3782</v>
      </c>
      <c r="I303" t="s">
        <v>28</v>
      </c>
    </row>
    <row r="304" spans="1:9" x14ac:dyDescent="0.3">
      <c r="A304" t="s">
        <v>348</v>
      </c>
      <c r="B304" s="9">
        <v>46301</v>
      </c>
      <c r="C304" t="s">
        <v>48</v>
      </c>
      <c r="D304" t="s">
        <v>41</v>
      </c>
      <c r="E304" t="s">
        <v>49</v>
      </c>
      <c r="F304">
        <v>4</v>
      </c>
      <c r="G304" s="4">
        <v>277</v>
      </c>
      <c r="H304" s="4">
        <f t="shared" si="4"/>
        <v>1108</v>
      </c>
      <c r="I304" t="s">
        <v>33</v>
      </c>
    </row>
    <row r="305" spans="1:9" x14ac:dyDescent="0.3">
      <c r="A305" t="s">
        <v>349</v>
      </c>
      <c r="B305" s="9">
        <v>46303</v>
      </c>
      <c r="C305" t="s">
        <v>56</v>
      </c>
      <c r="D305" t="s">
        <v>26</v>
      </c>
      <c r="E305" t="s">
        <v>49</v>
      </c>
      <c r="F305">
        <v>5</v>
      </c>
      <c r="G305" s="4">
        <v>2635</v>
      </c>
      <c r="H305" s="4">
        <f t="shared" si="4"/>
        <v>13175</v>
      </c>
      <c r="I305" t="s">
        <v>28</v>
      </c>
    </row>
    <row r="306" spans="1:9" x14ac:dyDescent="0.3">
      <c r="A306" t="s">
        <v>350</v>
      </c>
      <c r="B306" s="9">
        <v>46296</v>
      </c>
      <c r="C306" t="s">
        <v>54</v>
      </c>
      <c r="D306" t="s">
        <v>26</v>
      </c>
      <c r="E306" t="s">
        <v>27</v>
      </c>
      <c r="F306">
        <v>1</v>
      </c>
      <c r="G306" s="4">
        <v>24382</v>
      </c>
      <c r="H306" s="4">
        <f t="shared" si="4"/>
        <v>24382</v>
      </c>
      <c r="I306" t="s">
        <v>33</v>
      </c>
    </row>
    <row r="307" spans="1:9" x14ac:dyDescent="0.3">
      <c r="A307" t="s">
        <v>351</v>
      </c>
      <c r="B307" s="9">
        <v>46305</v>
      </c>
      <c r="C307" t="s">
        <v>48</v>
      </c>
      <c r="D307" t="s">
        <v>41</v>
      </c>
      <c r="E307" t="s">
        <v>42</v>
      </c>
      <c r="F307">
        <v>5</v>
      </c>
      <c r="G307" s="4">
        <v>1061</v>
      </c>
      <c r="H307" s="4">
        <f t="shared" si="4"/>
        <v>5305</v>
      </c>
      <c r="I307" t="s">
        <v>28</v>
      </c>
    </row>
    <row r="308" spans="1:9" x14ac:dyDescent="0.3">
      <c r="A308" t="s">
        <v>352</v>
      </c>
      <c r="B308" s="9">
        <v>46305</v>
      </c>
      <c r="C308" t="s">
        <v>44</v>
      </c>
      <c r="D308" t="s">
        <v>31</v>
      </c>
      <c r="E308" t="s">
        <v>27</v>
      </c>
      <c r="F308">
        <v>4</v>
      </c>
      <c r="G308" s="4">
        <v>6876</v>
      </c>
      <c r="H308" s="4">
        <f t="shared" si="4"/>
        <v>27504</v>
      </c>
      <c r="I308" t="s">
        <v>33</v>
      </c>
    </row>
    <row r="309" spans="1:9" x14ac:dyDescent="0.3">
      <c r="A309" t="s">
        <v>353</v>
      </c>
      <c r="B309" s="9">
        <v>46310</v>
      </c>
      <c r="C309" t="s">
        <v>44</v>
      </c>
      <c r="D309" t="s">
        <v>41</v>
      </c>
      <c r="E309" t="s">
        <v>42</v>
      </c>
      <c r="F309">
        <v>8</v>
      </c>
      <c r="G309" s="4">
        <v>4503</v>
      </c>
      <c r="H309" s="4">
        <f t="shared" si="4"/>
        <v>36024</v>
      </c>
      <c r="I309" t="s">
        <v>39</v>
      </c>
    </row>
    <row r="310" spans="1:9" x14ac:dyDescent="0.3">
      <c r="A310" t="s">
        <v>354</v>
      </c>
      <c r="B310" s="9">
        <v>46302</v>
      </c>
      <c r="C310" t="s">
        <v>52</v>
      </c>
      <c r="D310" t="s">
        <v>31</v>
      </c>
      <c r="E310" t="s">
        <v>46</v>
      </c>
      <c r="F310">
        <v>8</v>
      </c>
      <c r="G310" s="4">
        <v>35814</v>
      </c>
      <c r="H310" s="4">
        <f t="shared" si="4"/>
        <v>286512</v>
      </c>
      <c r="I310" t="s">
        <v>28</v>
      </c>
    </row>
    <row r="311" spans="1:9" x14ac:dyDescent="0.3">
      <c r="A311" t="s">
        <v>355</v>
      </c>
      <c r="B311" s="9">
        <v>46298</v>
      </c>
      <c r="C311" t="s">
        <v>30</v>
      </c>
      <c r="D311" t="s">
        <v>38</v>
      </c>
      <c r="E311" t="s">
        <v>42</v>
      </c>
      <c r="F311">
        <v>4</v>
      </c>
      <c r="G311" s="4">
        <v>4791</v>
      </c>
      <c r="H311" s="4">
        <f t="shared" si="4"/>
        <v>19164</v>
      </c>
      <c r="I311" t="s">
        <v>33</v>
      </c>
    </row>
    <row r="312" spans="1:9" x14ac:dyDescent="0.3">
      <c r="A312" t="s">
        <v>356</v>
      </c>
      <c r="B312" s="9">
        <v>46301</v>
      </c>
      <c r="C312" t="s">
        <v>44</v>
      </c>
      <c r="D312" t="s">
        <v>31</v>
      </c>
      <c r="E312" t="s">
        <v>32</v>
      </c>
      <c r="F312">
        <v>2</v>
      </c>
      <c r="G312" s="4">
        <v>5772</v>
      </c>
      <c r="H312" s="4">
        <f t="shared" si="4"/>
        <v>11544</v>
      </c>
      <c r="I312" t="s">
        <v>33</v>
      </c>
    </row>
    <row r="313" spans="1:9" x14ac:dyDescent="0.3">
      <c r="A313" t="s">
        <v>357</v>
      </c>
      <c r="B313" s="9">
        <v>46311</v>
      </c>
      <c r="C313" t="s">
        <v>30</v>
      </c>
      <c r="D313" t="s">
        <v>31</v>
      </c>
      <c r="E313" t="s">
        <v>32</v>
      </c>
      <c r="F313">
        <v>1</v>
      </c>
      <c r="G313" s="4">
        <v>3914</v>
      </c>
      <c r="H313" s="4">
        <f t="shared" si="4"/>
        <v>3914</v>
      </c>
      <c r="I313" t="s">
        <v>33</v>
      </c>
    </row>
    <row r="314" spans="1:9" x14ac:dyDescent="0.3">
      <c r="A314" t="s">
        <v>358</v>
      </c>
      <c r="B314" s="9">
        <v>46309</v>
      </c>
      <c r="C314" t="s">
        <v>56</v>
      </c>
      <c r="D314" t="s">
        <v>31</v>
      </c>
      <c r="E314" t="s">
        <v>46</v>
      </c>
      <c r="F314">
        <v>8</v>
      </c>
      <c r="G314" s="4">
        <v>21396</v>
      </c>
      <c r="H314" s="4">
        <f t="shared" si="4"/>
        <v>171168</v>
      </c>
      <c r="I314" t="s">
        <v>28</v>
      </c>
    </row>
    <row r="315" spans="1:9" x14ac:dyDescent="0.3">
      <c r="A315" t="s">
        <v>359</v>
      </c>
      <c r="B315" s="9">
        <v>46308</v>
      </c>
      <c r="C315" t="s">
        <v>54</v>
      </c>
      <c r="D315" t="s">
        <v>38</v>
      </c>
      <c r="E315" t="s">
        <v>27</v>
      </c>
      <c r="F315">
        <v>2</v>
      </c>
      <c r="G315" s="4">
        <v>3984</v>
      </c>
      <c r="H315" s="4">
        <f t="shared" si="4"/>
        <v>7968</v>
      </c>
      <c r="I315" t="s">
        <v>33</v>
      </c>
    </row>
    <row r="316" spans="1:9" x14ac:dyDescent="0.3">
      <c r="A316" t="s">
        <v>360</v>
      </c>
      <c r="B316" s="9">
        <v>46298</v>
      </c>
      <c r="C316" t="s">
        <v>25</v>
      </c>
      <c r="D316" t="s">
        <v>38</v>
      </c>
      <c r="E316" t="s">
        <v>32</v>
      </c>
      <c r="F316">
        <v>1</v>
      </c>
      <c r="G316" s="4">
        <v>2551</v>
      </c>
      <c r="H316" s="4">
        <f t="shared" si="4"/>
        <v>2551</v>
      </c>
      <c r="I316" t="s">
        <v>33</v>
      </c>
    </row>
    <row r="317" spans="1:9" x14ac:dyDescent="0.3">
      <c r="A317" t="s">
        <v>361</v>
      </c>
      <c r="B317" s="9">
        <v>46300</v>
      </c>
      <c r="C317" t="s">
        <v>62</v>
      </c>
      <c r="D317" t="s">
        <v>26</v>
      </c>
      <c r="E317" t="s">
        <v>32</v>
      </c>
      <c r="F317">
        <v>8</v>
      </c>
      <c r="G317" s="4">
        <v>7323</v>
      </c>
      <c r="H317" s="4">
        <f t="shared" si="4"/>
        <v>58584</v>
      </c>
      <c r="I317" t="s">
        <v>39</v>
      </c>
    </row>
    <row r="318" spans="1:9" x14ac:dyDescent="0.3">
      <c r="A318" t="s">
        <v>362</v>
      </c>
      <c r="B318" s="9">
        <v>46308</v>
      </c>
      <c r="C318" t="s">
        <v>62</v>
      </c>
      <c r="D318" t="s">
        <v>38</v>
      </c>
      <c r="E318" t="s">
        <v>42</v>
      </c>
      <c r="F318">
        <v>3</v>
      </c>
      <c r="G318" s="4">
        <v>5453</v>
      </c>
      <c r="H318" s="4">
        <f t="shared" si="4"/>
        <v>16359</v>
      </c>
      <c r="I318" t="s">
        <v>39</v>
      </c>
    </row>
    <row r="319" spans="1:9" x14ac:dyDescent="0.3">
      <c r="A319" t="s">
        <v>363</v>
      </c>
      <c r="B319" s="9">
        <v>46299</v>
      </c>
      <c r="C319" t="s">
        <v>48</v>
      </c>
      <c r="D319" t="s">
        <v>31</v>
      </c>
      <c r="E319" t="s">
        <v>32</v>
      </c>
      <c r="F319">
        <v>3</v>
      </c>
      <c r="G319" s="4">
        <v>6162</v>
      </c>
      <c r="H319" s="4">
        <f t="shared" si="4"/>
        <v>18486</v>
      </c>
      <c r="I319" t="s">
        <v>79</v>
      </c>
    </row>
    <row r="320" spans="1:9" x14ac:dyDescent="0.3">
      <c r="A320" t="s">
        <v>364</v>
      </c>
      <c r="B320" s="9">
        <v>46296</v>
      </c>
      <c r="C320" t="s">
        <v>25</v>
      </c>
      <c r="D320" t="s">
        <v>26</v>
      </c>
      <c r="E320" t="s">
        <v>32</v>
      </c>
      <c r="F320">
        <v>7</v>
      </c>
      <c r="G320" s="4">
        <v>4557</v>
      </c>
      <c r="H320" s="4">
        <f t="shared" si="4"/>
        <v>31899</v>
      </c>
      <c r="I320" t="s">
        <v>33</v>
      </c>
    </row>
    <row r="321" spans="1:9" x14ac:dyDescent="0.3">
      <c r="A321" t="s">
        <v>365</v>
      </c>
      <c r="B321" s="9">
        <v>46303</v>
      </c>
      <c r="C321" t="s">
        <v>52</v>
      </c>
      <c r="D321" t="s">
        <v>41</v>
      </c>
      <c r="E321" t="s">
        <v>49</v>
      </c>
      <c r="F321">
        <v>3</v>
      </c>
      <c r="G321" s="4">
        <v>1379</v>
      </c>
      <c r="H321" s="4">
        <f t="shared" si="4"/>
        <v>4137</v>
      </c>
      <c r="I321" t="s">
        <v>33</v>
      </c>
    </row>
    <row r="322" spans="1:9" x14ac:dyDescent="0.3">
      <c r="A322" t="s">
        <v>366</v>
      </c>
      <c r="B322" s="9">
        <v>46299</v>
      </c>
      <c r="C322" t="s">
        <v>25</v>
      </c>
      <c r="D322" t="s">
        <v>41</v>
      </c>
      <c r="E322" t="s">
        <v>42</v>
      </c>
      <c r="F322">
        <v>1</v>
      </c>
      <c r="G322" s="4">
        <v>2071</v>
      </c>
      <c r="H322" s="4">
        <f t="shared" ref="H322:H385" si="5">F322*G322</f>
        <v>2071</v>
      </c>
      <c r="I322" t="s">
        <v>33</v>
      </c>
    </row>
    <row r="323" spans="1:9" x14ac:dyDescent="0.3">
      <c r="A323" t="s">
        <v>367</v>
      </c>
      <c r="B323" s="9">
        <v>46299</v>
      </c>
      <c r="C323" t="s">
        <v>25</v>
      </c>
      <c r="D323" t="s">
        <v>41</v>
      </c>
      <c r="E323" t="s">
        <v>42</v>
      </c>
      <c r="F323">
        <v>1</v>
      </c>
      <c r="G323" s="4">
        <v>2104</v>
      </c>
      <c r="H323" s="4">
        <f t="shared" si="5"/>
        <v>2104</v>
      </c>
      <c r="I323" t="s">
        <v>28</v>
      </c>
    </row>
    <row r="324" spans="1:9" x14ac:dyDescent="0.3">
      <c r="A324" t="s">
        <v>368</v>
      </c>
      <c r="B324" s="9">
        <v>46308</v>
      </c>
      <c r="C324" t="s">
        <v>56</v>
      </c>
      <c r="D324" t="s">
        <v>36</v>
      </c>
      <c r="E324" t="s">
        <v>42</v>
      </c>
      <c r="F324">
        <v>4</v>
      </c>
      <c r="G324" s="4">
        <v>562</v>
      </c>
      <c r="H324" s="4">
        <f t="shared" si="5"/>
        <v>2248</v>
      </c>
      <c r="I324" t="s">
        <v>33</v>
      </c>
    </row>
    <row r="325" spans="1:9" x14ac:dyDescent="0.3">
      <c r="A325" t="s">
        <v>369</v>
      </c>
      <c r="B325" s="9">
        <v>46305</v>
      </c>
      <c r="C325" t="s">
        <v>52</v>
      </c>
      <c r="D325" t="s">
        <v>31</v>
      </c>
      <c r="E325" t="s">
        <v>49</v>
      </c>
      <c r="F325">
        <v>6</v>
      </c>
      <c r="G325" s="4">
        <v>1220</v>
      </c>
      <c r="H325" s="4">
        <f t="shared" si="5"/>
        <v>7320</v>
      </c>
      <c r="I325" t="s">
        <v>33</v>
      </c>
    </row>
    <row r="326" spans="1:9" x14ac:dyDescent="0.3">
      <c r="A326" t="s">
        <v>370</v>
      </c>
      <c r="B326" s="9">
        <v>46300</v>
      </c>
      <c r="C326" t="s">
        <v>52</v>
      </c>
      <c r="D326" t="s">
        <v>41</v>
      </c>
      <c r="E326" t="s">
        <v>49</v>
      </c>
      <c r="F326">
        <v>5</v>
      </c>
      <c r="G326" s="4">
        <v>499</v>
      </c>
      <c r="H326" s="4">
        <f t="shared" si="5"/>
        <v>2495</v>
      </c>
      <c r="I326" t="s">
        <v>33</v>
      </c>
    </row>
    <row r="327" spans="1:9" x14ac:dyDescent="0.3">
      <c r="A327" t="s">
        <v>371</v>
      </c>
      <c r="B327" s="9">
        <v>46301</v>
      </c>
      <c r="C327" t="s">
        <v>62</v>
      </c>
      <c r="D327" t="s">
        <v>31</v>
      </c>
      <c r="E327" t="s">
        <v>32</v>
      </c>
      <c r="F327">
        <v>1</v>
      </c>
      <c r="G327" s="4">
        <v>3021</v>
      </c>
      <c r="H327" s="4">
        <f t="shared" si="5"/>
        <v>3021</v>
      </c>
      <c r="I327" t="s">
        <v>39</v>
      </c>
    </row>
    <row r="328" spans="1:9" x14ac:dyDescent="0.3">
      <c r="A328" t="s">
        <v>372</v>
      </c>
      <c r="B328" s="9">
        <v>46308</v>
      </c>
      <c r="C328" t="s">
        <v>44</v>
      </c>
      <c r="D328" t="s">
        <v>41</v>
      </c>
      <c r="E328" t="s">
        <v>32</v>
      </c>
      <c r="F328">
        <v>3</v>
      </c>
      <c r="G328" s="4">
        <v>2656</v>
      </c>
      <c r="H328" s="4">
        <f t="shared" si="5"/>
        <v>7968</v>
      </c>
      <c r="I328" t="s">
        <v>33</v>
      </c>
    </row>
    <row r="329" spans="1:9" x14ac:dyDescent="0.3">
      <c r="A329" t="s">
        <v>373</v>
      </c>
      <c r="B329" s="9">
        <v>46313</v>
      </c>
      <c r="C329" t="s">
        <v>56</v>
      </c>
      <c r="D329" t="s">
        <v>36</v>
      </c>
      <c r="E329" t="s">
        <v>27</v>
      </c>
      <c r="F329">
        <v>5</v>
      </c>
      <c r="G329" s="4">
        <v>25685</v>
      </c>
      <c r="H329" s="4">
        <f t="shared" si="5"/>
        <v>128425</v>
      </c>
      <c r="I329" t="s">
        <v>33</v>
      </c>
    </row>
    <row r="330" spans="1:9" x14ac:dyDescent="0.3">
      <c r="A330" t="s">
        <v>374</v>
      </c>
      <c r="B330" s="9">
        <v>46310</v>
      </c>
      <c r="C330" t="s">
        <v>25</v>
      </c>
      <c r="D330" t="s">
        <v>31</v>
      </c>
      <c r="E330" t="s">
        <v>32</v>
      </c>
      <c r="F330">
        <v>7</v>
      </c>
      <c r="G330" s="4">
        <v>4765</v>
      </c>
      <c r="H330" s="4">
        <f t="shared" si="5"/>
        <v>33355</v>
      </c>
      <c r="I330" t="s">
        <v>33</v>
      </c>
    </row>
    <row r="331" spans="1:9" x14ac:dyDescent="0.3">
      <c r="A331" t="s">
        <v>375</v>
      </c>
      <c r="B331" s="9">
        <v>46308</v>
      </c>
      <c r="C331" t="s">
        <v>52</v>
      </c>
      <c r="D331" t="s">
        <v>26</v>
      </c>
      <c r="E331" t="s">
        <v>27</v>
      </c>
      <c r="F331">
        <v>6</v>
      </c>
      <c r="G331" s="4">
        <v>23691</v>
      </c>
      <c r="H331" s="4">
        <f t="shared" si="5"/>
        <v>142146</v>
      </c>
      <c r="I331" t="s">
        <v>33</v>
      </c>
    </row>
    <row r="332" spans="1:9" x14ac:dyDescent="0.3">
      <c r="A332" t="s">
        <v>376</v>
      </c>
      <c r="B332" s="9">
        <v>46310</v>
      </c>
      <c r="C332" t="s">
        <v>44</v>
      </c>
      <c r="D332" t="s">
        <v>38</v>
      </c>
      <c r="E332" t="s">
        <v>42</v>
      </c>
      <c r="F332">
        <v>4</v>
      </c>
      <c r="G332" s="4">
        <v>522</v>
      </c>
      <c r="H332" s="4">
        <f t="shared" si="5"/>
        <v>2088</v>
      </c>
      <c r="I332" t="s">
        <v>33</v>
      </c>
    </row>
    <row r="333" spans="1:9" x14ac:dyDescent="0.3">
      <c r="A333" t="s">
        <v>377</v>
      </c>
      <c r="B333" s="9">
        <v>46297</v>
      </c>
      <c r="C333" t="s">
        <v>30</v>
      </c>
      <c r="D333" t="s">
        <v>36</v>
      </c>
      <c r="E333" t="s">
        <v>42</v>
      </c>
      <c r="F333">
        <v>4</v>
      </c>
      <c r="G333" s="4">
        <v>4027</v>
      </c>
      <c r="H333" s="4">
        <f t="shared" si="5"/>
        <v>16108</v>
      </c>
      <c r="I333" t="s">
        <v>33</v>
      </c>
    </row>
    <row r="334" spans="1:9" x14ac:dyDescent="0.3">
      <c r="A334" t="s">
        <v>378</v>
      </c>
      <c r="B334" s="9">
        <v>46306</v>
      </c>
      <c r="C334" t="s">
        <v>54</v>
      </c>
      <c r="D334" t="s">
        <v>38</v>
      </c>
      <c r="E334" t="s">
        <v>27</v>
      </c>
      <c r="F334">
        <v>4</v>
      </c>
      <c r="G334" s="4">
        <v>26796</v>
      </c>
      <c r="H334" s="4">
        <f t="shared" si="5"/>
        <v>107184</v>
      </c>
      <c r="I334" t="s">
        <v>33</v>
      </c>
    </row>
    <row r="335" spans="1:9" x14ac:dyDescent="0.3">
      <c r="A335" t="s">
        <v>379</v>
      </c>
      <c r="B335" s="9">
        <v>46311</v>
      </c>
      <c r="C335" t="s">
        <v>52</v>
      </c>
      <c r="D335" t="s">
        <v>31</v>
      </c>
      <c r="E335" t="s">
        <v>27</v>
      </c>
      <c r="F335">
        <v>7</v>
      </c>
      <c r="G335" s="4">
        <v>10342</v>
      </c>
      <c r="H335" s="4">
        <f t="shared" si="5"/>
        <v>72394</v>
      </c>
      <c r="I335" t="s">
        <v>33</v>
      </c>
    </row>
    <row r="336" spans="1:9" x14ac:dyDescent="0.3">
      <c r="A336" t="s">
        <v>380</v>
      </c>
      <c r="B336" s="9">
        <v>46305</v>
      </c>
      <c r="C336" t="s">
        <v>62</v>
      </c>
      <c r="D336" t="s">
        <v>41</v>
      </c>
      <c r="E336" t="s">
        <v>42</v>
      </c>
      <c r="F336">
        <v>6</v>
      </c>
      <c r="G336" s="4">
        <v>2626</v>
      </c>
      <c r="H336" s="4">
        <f t="shared" si="5"/>
        <v>15756</v>
      </c>
      <c r="I336" t="s">
        <v>33</v>
      </c>
    </row>
    <row r="337" spans="1:9" x14ac:dyDescent="0.3">
      <c r="A337" t="s">
        <v>381</v>
      </c>
      <c r="B337" s="9">
        <v>46312</v>
      </c>
      <c r="C337" t="s">
        <v>56</v>
      </c>
      <c r="D337" t="s">
        <v>41</v>
      </c>
      <c r="E337" t="s">
        <v>46</v>
      </c>
      <c r="F337">
        <v>8</v>
      </c>
      <c r="G337" s="4">
        <v>22186</v>
      </c>
      <c r="H337" s="4">
        <f t="shared" si="5"/>
        <v>177488</v>
      </c>
      <c r="I337" t="s">
        <v>39</v>
      </c>
    </row>
    <row r="338" spans="1:9" x14ac:dyDescent="0.3">
      <c r="A338" t="s">
        <v>382</v>
      </c>
      <c r="B338" s="9">
        <v>46307</v>
      </c>
      <c r="C338" t="s">
        <v>44</v>
      </c>
      <c r="D338" t="s">
        <v>41</v>
      </c>
      <c r="E338" t="s">
        <v>46</v>
      </c>
      <c r="F338">
        <v>4</v>
      </c>
      <c r="G338" s="4">
        <v>10763</v>
      </c>
      <c r="H338" s="4">
        <f t="shared" si="5"/>
        <v>43052</v>
      </c>
      <c r="I338" t="s">
        <v>33</v>
      </c>
    </row>
    <row r="339" spans="1:9" x14ac:dyDescent="0.3">
      <c r="A339" t="s">
        <v>383</v>
      </c>
      <c r="B339" s="9">
        <v>46313</v>
      </c>
      <c r="C339" t="s">
        <v>62</v>
      </c>
      <c r="D339" t="s">
        <v>26</v>
      </c>
      <c r="E339" t="s">
        <v>27</v>
      </c>
      <c r="F339">
        <v>4</v>
      </c>
      <c r="G339" s="4">
        <v>13309</v>
      </c>
      <c r="H339" s="4">
        <f t="shared" si="5"/>
        <v>53236</v>
      </c>
      <c r="I339" t="s">
        <v>33</v>
      </c>
    </row>
    <row r="340" spans="1:9" x14ac:dyDescent="0.3">
      <c r="A340" t="s">
        <v>384</v>
      </c>
      <c r="B340" s="9">
        <v>46303</v>
      </c>
      <c r="C340" t="s">
        <v>56</v>
      </c>
      <c r="D340" t="s">
        <v>31</v>
      </c>
      <c r="E340" t="s">
        <v>49</v>
      </c>
      <c r="F340">
        <v>5</v>
      </c>
      <c r="G340" s="4">
        <v>3376</v>
      </c>
      <c r="H340" s="4">
        <f t="shared" si="5"/>
        <v>16880</v>
      </c>
      <c r="I340" t="s">
        <v>39</v>
      </c>
    </row>
    <row r="341" spans="1:9" x14ac:dyDescent="0.3">
      <c r="A341" t="s">
        <v>385</v>
      </c>
      <c r="B341" s="9">
        <v>46311</v>
      </c>
      <c r="C341" t="s">
        <v>56</v>
      </c>
      <c r="D341" t="s">
        <v>36</v>
      </c>
      <c r="E341" t="s">
        <v>49</v>
      </c>
      <c r="F341">
        <v>3</v>
      </c>
      <c r="G341" s="4">
        <v>823</v>
      </c>
      <c r="H341" s="4">
        <f t="shared" si="5"/>
        <v>2469</v>
      </c>
      <c r="I341" t="s">
        <v>28</v>
      </c>
    </row>
    <row r="342" spans="1:9" x14ac:dyDescent="0.3">
      <c r="A342" t="s">
        <v>386</v>
      </c>
      <c r="B342" s="9">
        <v>46311</v>
      </c>
      <c r="C342" t="s">
        <v>48</v>
      </c>
      <c r="D342" t="s">
        <v>31</v>
      </c>
      <c r="E342" t="s">
        <v>46</v>
      </c>
      <c r="F342">
        <v>1</v>
      </c>
      <c r="G342" s="4">
        <v>6071</v>
      </c>
      <c r="H342" s="4">
        <f t="shared" si="5"/>
        <v>6071</v>
      </c>
      <c r="I342" t="s">
        <v>39</v>
      </c>
    </row>
    <row r="343" spans="1:9" x14ac:dyDescent="0.3">
      <c r="A343" t="s">
        <v>387</v>
      </c>
      <c r="B343" s="9">
        <v>46297</v>
      </c>
      <c r="C343" t="s">
        <v>25</v>
      </c>
      <c r="D343" t="s">
        <v>41</v>
      </c>
      <c r="E343" t="s">
        <v>27</v>
      </c>
      <c r="F343">
        <v>4</v>
      </c>
      <c r="G343" s="4">
        <v>4727</v>
      </c>
      <c r="H343" s="4">
        <f t="shared" si="5"/>
        <v>18908</v>
      </c>
      <c r="I343" t="s">
        <v>28</v>
      </c>
    </row>
    <row r="344" spans="1:9" x14ac:dyDescent="0.3">
      <c r="A344" t="s">
        <v>388</v>
      </c>
      <c r="B344" s="9">
        <v>46296</v>
      </c>
      <c r="C344" t="s">
        <v>52</v>
      </c>
      <c r="D344" t="s">
        <v>31</v>
      </c>
      <c r="E344" t="s">
        <v>32</v>
      </c>
      <c r="F344">
        <v>6</v>
      </c>
      <c r="G344" s="4">
        <v>695</v>
      </c>
      <c r="H344" s="4">
        <f t="shared" si="5"/>
        <v>4170</v>
      </c>
      <c r="I344" t="s">
        <v>33</v>
      </c>
    </row>
    <row r="345" spans="1:9" x14ac:dyDescent="0.3">
      <c r="A345" t="s">
        <v>389</v>
      </c>
      <c r="B345" s="9">
        <v>46311</v>
      </c>
      <c r="C345" t="s">
        <v>56</v>
      </c>
      <c r="D345" t="s">
        <v>38</v>
      </c>
      <c r="E345" t="s">
        <v>46</v>
      </c>
      <c r="F345">
        <v>7</v>
      </c>
      <c r="G345" s="4">
        <v>1976</v>
      </c>
      <c r="H345" s="4">
        <f t="shared" si="5"/>
        <v>13832</v>
      </c>
      <c r="I345" t="s">
        <v>33</v>
      </c>
    </row>
    <row r="346" spans="1:9" x14ac:dyDescent="0.3">
      <c r="A346" t="s">
        <v>390</v>
      </c>
      <c r="B346" s="9">
        <v>46304</v>
      </c>
      <c r="C346" t="s">
        <v>54</v>
      </c>
      <c r="D346" t="s">
        <v>38</v>
      </c>
      <c r="E346" t="s">
        <v>42</v>
      </c>
      <c r="F346">
        <v>7</v>
      </c>
      <c r="G346" s="4">
        <v>1568</v>
      </c>
      <c r="H346" s="4">
        <f t="shared" si="5"/>
        <v>10976</v>
      </c>
      <c r="I346" t="s">
        <v>33</v>
      </c>
    </row>
    <row r="347" spans="1:9" x14ac:dyDescent="0.3">
      <c r="A347" t="s">
        <v>391</v>
      </c>
      <c r="B347" s="9">
        <v>46299</v>
      </c>
      <c r="C347" t="s">
        <v>48</v>
      </c>
      <c r="D347" t="s">
        <v>36</v>
      </c>
      <c r="E347" t="s">
        <v>27</v>
      </c>
      <c r="F347">
        <v>5</v>
      </c>
      <c r="G347" s="4">
        <v>29212</v>
      </c>
      <c r="H347" s="4">
        <f t="shared" si="5"/>
        <v>146060</v>
      </c>
      <c r="I347" t="s">
        <v>33</v>
      </c>
    </row>
    <row r="348" spans="1:9" x14ac:dyDescent="0.3">
      <c r="A348" t="s">
        <v>392</v>
      </c>
      <c r="B348" s="9">
        <v>46308</v>
      </c>
      <c r="C348" t="s">
        <v>30</v>
      </c>
      <c r="D348" t="s">
        <v>26</v>
      </c>
      <c r="E348" t="s">
        <v>32</v>
      </c>
      <c r="F348">
        <v>8</v>
      </c>
      <c r="G348" s="4">
        <v>4828</v>
      </c>
      <c r="H348" s="4">
        <f t="shared" si="5"/>
        <v>38624</v>
      </c>
      <c r="I348" t="s">
        <v>33</v>
      </c>
    </row>
    <row r="349" spans="1:9" x14ac:dyDescent="0.3">
      <c r="A349" t="s">
        <v>393</v>
      </c>
      <c r="B349" s="9">
        <v>46303</v>
      </c>
      <c r="C349" t="s">
        <v>54</v>
      </c>
      <c r="D349" t="s">
        <v>38</v>
      </c>
      <c r="E349" t="s">
        <v>46</v>
      </c>
      <c r="F349">
        <v>2</v>
      </c>
      <c r="G349" s="4">
        <v>27760</v>
      </c>
      <c r="H349" s="4">
        <f t="shared" si="5"/>
        <v>55520</v>
      </c>
      <c r="I349" t="s">
        <v>33</v>
      </c>
    </row>
    <row r="350" spans="1:9" x14ac:dyDescent="0.3">
      <c r="A350" t="s">
        <v>394</v>
      </c>
      <c r="B350" s="9">
        <v>46313</v>
      </c>
      <c r="C350" t="s">
        <v>56</v>
      </c>
      <c r="D350" t="s">
        <v>38</v>
      </c>
      <c r="E350" t="s">
        <v>46</v>
      </c>
      <c r="F350">
        <v>3</v>
      </c>
      <c r="G350" s="4">
        <v>6618</v>
      </c>
      <c r="H350" s="4">
        <f t="shared" si="5"/>
        <v>19854</v>
      </c>
      <c r="I350" t="s">
        <v>33</v>
      </c>
    </row>
    <row r="351" spans="1:9" x14ac:dyDescent="0.3">
      <c r="A351" t="s">
        <v>395</v>
      </c>
      <c r="B351" s="9">
        <v>46309</v>
      </c>
      <c r="C351" t="s">
        <v>44</v>
      </c>
      <c r="D351" t="s">
        <v>31</v>
      </c>
      <c r="E351" t="s">
        <v>46</v>
      </c>
      <c r="F351">
        <v>1</v>
      </c>
      <c r="G351" s="4">
        <v>16257</v>
      </c>
      <c r="H351" s="4">
        <f t="shared" si="5"/>
        <v>16257</v>
      </c>
      <c r="I351" t="s">
        <v>33</v>
      </c>
    </row>
    <row r="352" spans="1:9" x14ac:dyDescent="0.3">
      <c r="A352" t="s">
        <v>396</v>
      </c>
      <c r="B352" s="9">
        <v>46311</v>
      </c>
      <c r="C352" t="s">
        <v>54</v>
      </c>
      <c r="D352" t="s">
        <v>38</v>
      </c>
      <c r="E352" t="s">
        <v>46</v>
      </c>
      <c r="F352">
        <v>5</v>
      </c>
      <c r="G352" s="4">
        <v>36788</v>
      </c>
      <c r="H352" s="4">
        <f t="shared" si="5"/>
        <v>183940</v>
      </c>
      <c r="I352" t="s">
        <v>33</v>
      </c>
    </row>
    <row r="353" spans="1:9" x14ac:dyDescent="0.3">
      <c r="A353" t="s">
        <v>397</v>
      </c>
      <c r="B353" s="9">
        <v>46297</v>
      </c>
      <c r="C353" t="s">
        <v>48</v>
      </c>
      <c r="D353" t="s">
        <v>26</v>
      </c>
      <c r="E353" t="s">
        <v>46</v>
      </c>
      <c r="F353">
        <v>4</v>
      </c>
      <c r="G353" s="4">
        <v>39671</v>
      </c>
      <c r="H353" s="4">
        <f t="shared" si="5"/>
        <v>158684</v>
      </c>
      <c r="I353" t="s">
        <v>33</v>
      </c>
    </row>
    <row r="354" spans="1:9" x14ac:dyDescent="0.3">
      <c r="A354" t="s">
        <v>398</v>
      </c>
      <c r="B354" s="9">
        <v>46308</v>
      </c>
      <c r="C354" t="s">
        <v>30</v>
      </c>
      <c r="D354" t="s">
        <v>26</v>
      </c>
      <c r="E354" t="s">
        <v>27</v>
      </c>
      <c r="F354">
        <v>4</v>
      </c>
      <c r="G354" s="4">
        <v>21069</v>
      </c>
      <c r="H354" s="4">
        <f t="shared" si="5"/>
        <v>84276</v>
      </c>
      <c r="I354" t="s">
        <v>39</v>
      </c>
    </row>
    <row r="355" spans="1:9" x14ac:dyDescent="0.3">
      <c r="A355" t="s">
        <v>399</v>
      </c>
      <c r="B355" s="9">
        <v>46308</v>
      </c>
      <c r="C355" t="s">
        <v>44</v>
      </c>
      <c r="D355" t="s">
        <v>41</v>
      </c>
      <c r="E355" t="s">
        <v>27</v>
      </c>
      <c r="F355">
        <v>2</v>
      </c>
      <c r="G355" s="4">
        <v>18909</v>
      </c>
      <c r="H355" s="4">
        <f t="shared" si="5"/>
        <v>37818</v>
      </c>
      <c r="I355" t="s">
        <v>28</v>
      </c>
    </row>
    <row r="356" spans="1:9" x14ac:dyDescent="0.3">
      <c r="A356" t="s">
        <v>400</v>
      </c>
      <c r="B356" s="9">
        <v>46307</v>
      </c>
      <c r="C356" t="s">
        <v>25</v>
      </c>
      <c r="D356" t="s">
        <v>38</v>
      </c>
      <c r="E356" t="s">
        <v>32</v>
      </c>
      <c r="F356">
        <v>4</v>
      </c>
      <c r="G356" s="4">
        <v>7070</v>
      </c>
      <c r="H356" s="4">
        <f t="shared" si="5"/>
        <v>28280</v>
      </c>
      <c r="I356" t="s">
        <v>33</v>
      </c>
    </row>
    <row r="357" spans="1:9" x14ac:dyDescent="0.3">
      <c r="A357" t="s">
        <v>401</v>
      </c>
      <c r="B357" s="9">
        <v>46308</v>
      </c>
      <c r="C357" t="s">
        <v>44</v>
      </c>
      <c r="D357" t="s">
        <v>38</v>
      </c>
      <c r="E357" t="s">
        <v>49</v>
      </c>
      <c r="F357">
        <v>8</v>
      </c>
      <c r="G357" s="4">
        <v>2259</v>
      </c>
      <c r="H357" s="4">
        <f t="shared" si="5"/>
        <v>18072</v>
      </c>
      <c r="I357" t="s">
        <v>33</v>
      </c>
    </row>
    <row r="358" spans="1:9" x14ac:dyDescent="0.3">
      <c r="A358" t="s">
        <v>402</v>
      </c>
      <c r="B358" s="9">
        <v>46313</v>
      </c>
      <c r="C358" t="s">
        <v>62</v>
      </c>
      <c r="D358" t="s">
        <v>41</v>
      </c>
      <c r="E358" t="s">
        <v>27</v>
      </c>
      <c r="F358">
        <v>7</v>
      </c>
      <c r="G358" s="4">
        <v>5308</v>
      </c>
      <c r="H358" s="4">
        <f t="shared" si="5"/>
        <v>37156</v>
      </c>
      <c r="I358" t="s">
        <v>39</v>
      </c>
    </row>
    <row r="359" spans="1:9" x14ac:dyDescent="0.3">
      <c r="A359" t="s">
        <v>403</v>
      </c>
      <c r="B359" s="9">
        <v>46305</v>
      </c>
      <c r="C359" t="s">
        <v>52</v>
      </c>
      <c r="D359" t="s">
        <v>38</v>
      </c>
      <c r="E359" t="s">
        <v>46</v>
      </c>
      <c r="F359">
        <v>5</v>
      </c>
      <c r="G359" s="4">
        <v>11307</v>
      </c>
      <c r="H359" s="4">
        <f t="shared" si="5"/>
        <v>56535</v>
      </c>
      <c r="I359" t="s">
        <v>33</v>
      </c>
    </row>
    <row r="360" spans="1:9" x14ac:dyDescent="0.3">
      <c r="A360" t="s">
        <v>404</v>
      </c>
      <c r="B360" s="9">
        <v>46300</v>
      </c>
      <c r="C360" t="s">
        <v>62</v>
      </c>
      <c r="D360" t="s">
        <v>26</v>
      </c>
      <c r="E360" t="s">
        <v>49</v>
      </c>
      <c r="F360">
        <v>2</v>
      </c>
      <c r="G360" s="4">
        <v>624</v>
      </c>
      <c r="H360" s="4">
        <f t="shared" si="5"/>
        <v>1248</v>
      </c>
      <c r="I360" t="s">
        <v>33</v>
      </c>
    </row>
    <row r="361" spans="1:9" x14ac:dyDescent="0.3">
      <c r="A361" t="s">
        <v>405</v>
      </c>
      <c r="B361" s="9">
        <v>46305</v>
      </c>
      <c r="C361" t="s">
        <v>56</v>
      </c>
      <c r="D361" t="s">
        <v>26</v>
      </c>
      <c r="E361" t="s">
        <v>49</v>
      </c>
      <c r="F361">
        <v>2</v>
      </c>
      <c r="G361" s="4">
        <v>792</v>
      </c>
      <c r="H361" s="4">
        <f t="shared" si="5"/>
        <v>1584</v>
      </c>
      <c r="I361" t="s">
        <v>33</v>
      </c>
    </row>
    <row r="362" spans="1:9" x14ac:dyDescent="0.3">
      <c r="A362" t="s">
        <v>406</v>
      </c>
      <c r="B362" s="9">
        <v>46309</v>
      </c>
      <c r="C362" t="s">
        <v>56</v>
      </c>
      <c r="D362" t="s">
        <v>31</v>
      </c>
      <c r="E362" t="s">
        <v>42</v>
      </c>
      <c r="F362">
        <v>7</v>
      </c>
      <c r="G362" s="4">
        <v>946</v>
      </c>
      <c r="H362" s="4">
        <f t="shared" si="5"/>
        <v>6622</v>
      </c>
      <c r="I362" t="s">
        <v>33</v>
      </c>
    </row>
    <row r="363" spans="1:9" x14ac:dyDescent="0.3">
      <c r="A363" t="s">
        <v>407</v>
      </c>
      <c r="B363" s="9">
        <v>46307</v>
      </c>
      <c r="C363" t="s">
        <v>30</v>
      </c>
      <c r="D363" t="s">
        <v>31</v>
      </c>
      <c r="E363" t="s">
        <v>42</v>
      </c>
      <c r="F363">
        <v>6</v>
      </c>
      <c r="G363" s="4">
        <v>3255</v>
      </c>
      <c r="H363" s="4">
        <f t="shared" si="5"/>
        <v>19530</v>
      </c>
      <c r="I363" t="s">
        <v>33</v>
      </c>
    </row>
    <row r="364" spans="1:9" x14ac:dyDescent="0.3">
      <c r="A364" t="s">
        <v>408</v>
      </c>
      <c r="B364" s="9">
        <v>46309</v>
      </c>
      <c r="C364" t="s">
        <v>62</v>
      </c>
      <c r="D364" t="s">
        <v>38</v>
      </c>
      <c r="E364" t="s">
        <v>42</v>
      </c>
      <c r="F364">
        <v>4</v>
      </c>
      <c r="G364" s="4">
        <v>4785</v>
      </c>
      <c r="H364" s="4">
        <f t="shared" si="5"/>
        <v>19140</v>
      </c>
      <c r="I364" t="s">
        <v>33</v>
      </c>
    </row>
    <row r="365" spans="1:9" x14ac:dyDescent="0.3">
      <c r="A365" t="s">
        <v>409</v>
      </c>
      <c r="B365" s="9">
        <v>46308</v>
      </c>
      <c r="C365" t="s">
        <v>48</v>
      </c>
      <c r="D365" t="s">
        <v>36</v>
      </c>
      <c r="E365" t="s">
        <v>49</v>
      </c>
      <c r="F365">
        <v>5</v>
      </c>
      <c r="G365" s="4">
        <v>1349</v>
      </c>
      <c r="H365" s="4">
        <f t="shared" si="5"/>
        <v>6745</v>
      </c>
      <c r="I365" t="s">
        <v>33</v>
      </c>
    </row>
    <row r="366" spans="1:9" x14ac:dyDescent="0.3">
      <c r="A366" t="s">
        <v>410</v>
      </c>
      <c r="B366" s="9">
        <v>46298</v>
      </c>
      <c r="C366" t="s">
        <v>48</v>
      </c>
      <c r="D366" t="s">
        <v>41</v>
      </c>
      <c r="E366" t="s">
        <v>49</v>
      </c>
      <c r="F366">
        <v>7</v>
      </c>
      <c r="G366" s="4">
        <v>1477</v>
      </c>
      <c r="H366" s="4">
        <f t="shared" si="5"/>
        <v>10339</v>
      </c>
      <c r="I366" t="s">
        <v>33</v>
      </c>
    </row>
    <row r="367" spans="1:9" x14ac:dyDescent="0.3">
      <c r="A367" t="s">
        <v>411</v>
      </c>
      <c r="B367" s="9">
        <v>46298</v>
      </c>
      <c r="C367" t="s">
        <v>44</v>
      </c>
      <c r="D367" t="s">
        <v>26</v>
      </c>
      <c r="E367" t="s">
        <v>27</v>
      </c>
      <c r="F367">
        <v>8</v>
      </c>
      <c r="G367" s="4">
        <v>21957</v>
      </c>
      <c r="H367" s="4">
        <f t="shared" si="5"/>
        <v>175656</v>
      </c>
      <c r="I367" t="s">
        <v>33</v>
      </c>
    </row>
    <row r="368" spans="1:9" x14ac:dyDescent="0.3">
      <c r="A368" t="s">
        <v>412</v>
      </c>
      <c r="B368" s="9">
        <v>46310</v>
      </c>
      <c r="C368" t="s">
        <v>30</v>
      </c>
      <c r="D368" t="s">
        <v>36</v>
      </c>
      <c r="E368" t="s">
        <v>49</v>
      </c>
      <c r="F368">
        <v>1</v>
      </c>
      <c r="G368" s="4">
        <v>1870</v>
      </c>
      <c r="H368" s="4">
        <f t="shared" si="5"/>
        <v>1870</v>
      </c>
      <c r="I368" t="s">
        <v>33</v>
      </c>
    </row>
    <row r="369" spans="1:9" x14ac:dyDescent="0.3">
      <c r="A369" t="s">
        <v>413</v>
      </c>
      <c r="B369" s="9">
        <v>46308</v>
      </c>
      <c r="C369" t="s">
        <v>44</v>
      </c>
      <c r="D369" t="s">
        <v>41</v>
      </c>
      <c r="E369" t="s">
        <v>49</v>
      </c>
      <c r="F369">
        <v>7</v>
      </c>
      <c r="G369" s="4">
        <v>2916</v>
      </c>
      <c r="H369" s="4">
        <f t="shared" si="5"/>
        <v>20412</v>
      </c>
      <c r="I369" t="s">
        <v>79</v>
      </c>
    </row>
    <row r="370" spans="1:9" x14ac:dyDescent="0.3">
      <c r="A370" t="s">
        <v>414</v>
      </c>
      <c r="B370" s="9">
        <v>46300</v>
      </c>
      <c r="C370" t="s">
        <v>54</v>
      </c>
      <c r="D370" t="s">
        <v>26</v>
      </c>
      <c r="E370" t="s">
        <v>42</v>
      </c>
      <c r="F370">
        <v>4</v>
      </c>
      <c r="G370" s="4">
        <v>4024</v>
      </c>
      <c r="H370" s="4">
        <f t="shared" si="5"/>
        <v>16096</v>
      </c>
      <c r="I370" t="s">
        <v>33</v>
      </c>
    </row>
    <row r="371" spans="1:9" x14ac:dyDescent="0.3">
      <c r="A371" t="s">
        <v>415</v>
      </c>
      <c r="B371" s="9">
        <v>46308</v>
      </c>
      <c r="C371" t="s">
        <v>44</v>
      </c>
      <c r="D371" t="s">
        <v>26</v>
      </c>
      <c r="E371" t="s">
        <v>32</v>
      </c>
      <c r="F371">
        <v>4</v>
      </c>
      <c r="G371" s="4">
        <v>2869</v>
      </c>
      <c r="H371" s="4">
        <f t="shared" si="5"/>
        <v>11476</v>
      </c>
      <c r="I371" t="s">
        <v>33</v>
      </c>
    </row>
    <row r="372" spans="1:9" x14ac:dyDescent="0.3">
      <c r="A372" t="s">
        <v>416</v>
      </c>
      <c r="B372" s="9">
        <v>46308</v>
      </c>
      <c r="C372" t="s">
        <v>44</v>
      </c>
      <c r="D372" t="s">
        <v>38</v>
      </c>
      <c r="E372" t="s">
        <v>42</v>
      </c>
      <c r="F372">
        <v>4</v>
      </c>
      <c r="G372" s="4">
        <v>4951</v>
      </c>
      <c r="H372" s="4">
        <f t="shared" si="5"/>
        <v>19804</v>
      </c>
      <c r="I372" t="s">
        <v>79</v>
      </c>
    </row>
    <row r="373" spans="1:9" x14ac:dyDescent="0.3">
      <c r="A373" t="s">
        <v>417</v>
      </c>
      <c r="B373" s="9">
        <v>46301</v>
      </c>
      <c r="C373" t="s">
        <v>25</v>
      </c>
      <c r="D373" t="s">
        <v>41</v>
      </c>
      <c r="E373" t="s">
        <v>27</v>
      </c>
      <c r="F373">
        <v>8</v>
      </c>
      <c r="G373" s="4">
        <v>28638</v>
      </c>
      <c r="H373" s="4">
        <f t="shared" si="5"/>
        <v>229104</v>
      </c>
      <c r="I373" t="s">
        <v>33</v>
      </c>
    </row>
    <row r="374" spans="1:9" x14ac:dyDescent="0.3">
      <c r="A374" t="s">
        <v>418</v>
      </c>
      <c r="B374" s="9">
        <v>46298</v>
      </c>
      <c r="C374" t="s">
        <v>62</v>
      </c>
      <c r="D374" t="s">
        <v>41</v>
      </c>
      <c r="E374" t="s">
        <v>27</v>
      </c>
      <c r="F374">
        <v>5</v>
      </c>
      <c r="G374" s="4">
        <v>10430</v>
      </c>
      <c r="H374" s="4">
        <f t="shared" si="5"/>
        <v>52150</v>
      </c>
      <c r="I374" t="s">
        <v>33</v>
      </c>
    </row>
    <row r="375" spans="1:9" x14ac:dyDescent="0.3">
      <c r="A375" t="s">
        <v>419</v>
      </c>
      <c r="B375" s="9">
        <v>46300</v>
      </c>
      <c r="C375" t="s">
        <v>62</v>
      </c>
      <c r="D375" t="s">
        <v>41</v>
      </c>
      <c r="E375" t="s">
        <v>46</v>
      </c>
      <c r="F375">
        <v>8</v>
      </c>
      <c r="G375" s="4">
        <v>40386</v>
      </c>
      <c r="H375" s="4">
        <f t="shared" si="5"/>
        <v>323088</v>
      </c>
      <c r="I375" t="s">
        <v>33</v>
      </c>
    </row>
    <row r="376" spans="1:9" x14ac:dyDescent="0.3">
      <c r="A376" t="s">
        <v>420</v>
      </c>
      <c r="B376" s="9">
        <v>46308</v>
      </c>
      <c r="C376" t="s">
        <v>62</v>
      </c>
      <c r="D376" t="s">
        <v>31</v>
      </c>
      <c r="E376" t="s">
        <v>46</v>
      </c>
      <c r="F376">
        <v>6</v>
      </c>
      <c r="G376" s="4">
        <v>36386</v>
      </c>
      <c r="H376" s="4">
        <f t="shared" si="5"/>
        <v>218316</v>
      </c>
      <c r="I376" t="s">
        <v>33</v>
      </c>
    </row>
    <row r="377" spans="1:9" x14ac:dyDescent="0.3">
      <c r="A377" t="s">
        <v>421</v>
      </c>
      <c r="B377" s="9">
        <v>46298</v>
      </c>
      <c r="C377" t="s">
        <v>30</v>
      </c>
      <c r="D377" t="s">
        <v>36</v>
      </c>
      <c r="E377" t="s">
        <v>49</v>
      </c>
      <c r="F377">
        <v>3</v>
      </c>
      <c r="G377" s="4">
        <v>2900</v>
      </c>
      <c r="H377" s="4">
        <f t="shared" si="5"/>
        <v>8700</v>
      </c>
      <c r="I377" t="s">
        <v>33</v>
      </c>
    </row>
    <row r="378" spans="1:9" x14ac:dyDescent="0.3">
      <c r="A378" t="s">
        <v>422</v>
      </c>
      <c r="B378" s="9">
        <v>46308</v>
      </c>
      <c r="C378" t="s">
        <v>44</v>
      </c>
      <c r="D378" t="s">
        <v>41</v>
      </c>
      <c r="E378" t="s">
        <v>46</v>
      </c>
      <c r="F378">
        <v>1</v>
      </c>
      <c r="G378" s="4">
        <v>7662</v>
      </c>
      <c r="H378" s="4">
        <f t="shared" si="5"/>
        <v>7662</v>
      </c>
      <c r="I378" t="s">
        <v>33</v>
      </c>
    </row>
    <row r="379" spans="1:9" x14ac:dyDescent="0.3">
      <c r="A379" t="s">
        <v>423</v>
      </c>
      <c r="B379" s="9">
        <v>46312</v>
      </c>
      <c r="C379" t="s">
        <v>52</v>
      </c>
      <c r="D379" t="s">
        <v>41</v>
      </c>
      <c r="E379" t="s">
        <v>49</v>
      </c>
      <c r="F379">
        <v>7</v>
      </c>
      <c r="G379" s="4">
        <v>2146</v>
      </c>
      <c r="H379" s="4">
        <f t="shared" si="5"/>
        <v>15022</v>
      </c>
      <c r="I379" t="s">
        <v>39</v>
      </c>
    </row>
    <row r="380" spans="1:9" x14ac:dyDescent="0.3">
      <c r="A380" t="s">
        <v>424</v>
      </c>
      <c r="B380" s="9">
        <v>46312</v>
      </c>
      <c r="C380" t="s">
        <v>48</v>
      </c>
      <c r="D380" t="s">
        <v>26</v>
      </c>
      <c r="E380" t="s">
        <v>46</v>
      </c>
      <c r="F380">
        <v>8</v>
      </c>
      <c r="G380" s="4">
        <v>8051</v>
      </c>
      <c r="H380" s="4">
        <f t="shared" si="5"/>
        <v>64408</v>
      </c>
      <c r="I380" t="s">
        <v>33</v>
      </c>
    </row>
    <row r="381" spans="1:9" x14ac:dyDescent="0.3">
      <c r="A381" t="s">
        <v>425</v>
      </c>
      <c r="B381" s="9">
        <v>46298</v>
      </c>
      <c r="C381" t="s">
        <v>30</v>
      </c>
      <c r="D381" t="s">
        <v>36</v>
      </c>
      <c r="E381" t="s">
        <v>49</v>
      </c>
      <c r="F381">
        <v>5</v>
      </c>
      <c r="G381" s="4">
        <v>1655</v>
      </c>
      <c r="H381" s="4">
        <f t="shared" si="5"/>
        <v>8275</v>
      </c>
      <c r="I381" t="s">
        <v>33</v>
      </c>
    </row>
    <row r="382" spans="1:9" x14ac:dyDescent="0.3">
      <c r="A382" t="s">
        <v>426</v>
      </c>
      <c r="B382" s="9">
        <v>46302</v>
      </c>
      <c r="C382" t="s">
        <v>56</v>
      </c>
      <c r="D382" t="s">
        <v>26</v>
      </c>
      <c r="E382" t="s">
        <v>32</v>
      </c>
      <c r="F382">
        <v>2</v>
      </c>
      <c r="G382" s="4">
        <v>3789</v>
      </c>
      <c r="H382" s="4">
        <f t="shared" si="5"/>
        <v>7578</v>
      </c>
      <c r="I382" t="s">
        <v>28</v>
      </c>
    </row>
    <row r="383" spans="1:9" x14ac:dyDescent="0.3">
      <c r="A383" t="s">
        <v>427</v>
      </c>
      <c r="B383" s="9">
        <v>46310</v>
      </c>
      <c r="C383" t="s">
        <v>44</v>
      </c>
      <c r="D383" t="s">
        <v>38</v>
      </c>
      <c r="E383" t="s">
        <v>49</v>
      </c>
      <c r="F383">
        <v>1</v>
      </c>
      <c r="G383" s="4">
        <v>3161</v>
      </c>
      <c r="H383" s="4">
        <f t="shared" si="5"/>
        <v>3161</v>
      </c>
      <c r="I383" t="s">
        <v>33</v>
      </c>
    </row>
    <row r="384" spans="1:9" x14ac:dyDescent="0.3">
      <c r="A384" t="s">
        <v>428</v>
      </c>
      <c r="B384" s="9">
        <v>46306</v>
      </c>
      <c r="C384" t="s">
        <v>30</v>
      </c>
      <c r="D384" t="s">
        <v>36</v>
      </c>
      <c r="E384" t="s">
        <v>27</v>
      </c>
      <c r="F384">
        <v>3</v>
      </c>
      <c r="G384" s="4">
        <v>20584</v>
      </c>
      <c r="H384" s="4">
        <f t="shared" si="5"/>
        <v>61752</v>
      </c>
      <c r="I384" t="s">
        <v>33</v>
      </c>
    </row>
    <row r="385" spans="1:9" x14ac:dyDescent="0.3">
      <c r="A385" t="s">
        <v>429</v>
      </c>
      <c r="B385" s="9">
        <v>46313</v>
      </c>
      <c r="C385" t="s">
        <v>62</v>
      </c>
      <c r="D385" t="s">
        <v>41</v>
      </c>
      <c r="E385" t="s">
        <v>27</v>
      </c>
      <c r="F385">
        <v>7</v>
      </c>
      <c r="G385" s="4">
        <v>23135</v>
      </c>
      <c r="H385" s="4">
        <f t="shared" si="5"/>
        <v>161945</v>
      </c>
      <c r="I385" t="s">
        <v>33</v>
      </c>
    </row>
    <row r="386" spans="1:9" x14ac:dyDescent="0.3">
      <c r="A386" t="s">
        <v>430</v>
      </c>
      <c r="B386" s="9">
        <v>46309</v>
      </c>
      <c r="C386" t="s">
        <v>62</v>
      </c>
      <c r="D386" t="s">
        <v>38</v>
      </c>
      <c r="E386" t="s">
        <v>42</v>
      </c>
      <c r="F386">
        <v>4</v>
      </c>
      <c r="G386" s="4">
        <v>3782</v>
      </c>
      <c r="H386" s="4">
        <f t="shared" ref="H386:H449" si="6">F386*G386</f>
        <v>15128</v>
      </c>
      <c r="I386" t="s">
        <v>33</v>
      </c>
    </row>
    <row r="387" spans="1:9" x14ac:dyDescent="0.3">
      <c r="A387" t="s">
        <v>431</v>
      </c>
      <c r="B387" s="9">
        <v>46308</v>
      </c>
      <c r="C387" t="s">
        <v>25</v>
      </c>
      <c r="D387" t="s">
        <v>36</v>
      </c>
      <c r="E387" t="s">
        <v>27</v>
      </c>
      <c r="F387">
        <v>5</v>
      </c>
      <c r="G387" s="4">
        <v>27152</v>
      </c>
      <c r="H387" s="4">
        <f t="shared" si="6"/>
        <v>135760</v>
      </c>
      <c r="I387" t="s">
        <v>28</v>
      </c>
    </row>
    <row r="388" spans="1:9" x14ac:dyDescent="0.3">
      <c r="A388" t="s">
        <v>432</v>
      </c>
      <c r="B388" s="9">
        <v>46298</v>
      </c>
      <c r="C388" t="s">
        <v>30</v>
      </c>
      <c r="D388" t="s">
        <v>31</v>
      </c>
      <c r="E388" t="s">
        <v>27</v>
      </c>
      <c r="F388">
        <v>6</v>
      </c>
      <c r="G388" s="4">
        <v>13181</v>
      </c>
      <c r="H388" s="4">
        <f t="shared" si="6"/>
        <v>79086</v>
      </c>
      <c r="I388" t="s">
        <v>33</v>
      </c>
    </row>
    <row r="389" spans="1:9" x14ac:dyDescent="0.3">
      <c r="A389" t="s">
        <v>433</v>
      </c>
      <c r="B389" s="9">
        <v>46299</v>
      </c>
      <c r="C389" t="s">
        <v>54</v>
      </c>
      <c r="D389" t="s">
        <v>41</v>
      </c>
      <c r="E389" t="s">
        <v>42</v>
      </c>
      <c r="F389">
        <v>6</v>
      </c>
      <c r="G389" s="4">
        <v>4990</v>
      </c>
      <c r="H389" s="4">
        <f t="shared" si="6"/>
        <v>29940</v>
      </c>
      <c r="I389" t="s">
        <v>33</v>
      </c>
    </row>
    <row r="390" spans="1:9" x14ac:dyDescent="0.3">
      <c r="A390" t="s">
        <v>434</v>
      </c>
      <c r="B390" s="9">
        <v>46308</v>
      </c>
      <c r="C390" t="s">
        <v>30</v>
      </c>
      <c r="D390" t="s">
        <v>26</v>
      </c>
      <c r="E390" t="s">
        <v>49</v>
      </c>
      <c r="F390">
        <v>8</v>
      </c>
      <c r="G390" s="4">
        <v>2778</v>
      </c>
      <c r="H390" s="4">
        <f t="shared" si="6"/>
        <v>22224</v>
      </c>
      <c r="I390" t="s">
        <v>33</v>
      </c>
    </row>
    <row r="391" spans="1:9" x14ac:dyDescent="0.3">
      <c r="A391" t="s">
        <v>435</v>
      </c>
      <c r="B391" s="9">
        <v>46305</v>
      </c>
      <c r="C391" t="s">
        <v>30</v>
      </c>
      <c r="D391" t="s">
        <v>36</v>
      </c>
      <c r="E391" t="s">
        <v>49</v>
      </c>
      <c r="F391">
        <v>2</v>
      </c>
      <c r="G391" s="4">
        <v>1227</v>
      </c>
      <c r="H391" s="4">
        <f t="shared" si="6"/>
        <v>2454</v>
      </c>
      <c r="I391" t="s">
        <v>33</v>
      </c>
    </row>
    <row r="392" spans="1:9" x14ac:dyDescent="0.3">
      <c r="A392" t="s">
        <v>436</v>
      </c>
      <c r="B392" s="9">
        <v>46301</v>
      </c>
      <c r="C392" t="s">
        <v>44</v>
      </c>
      <c r="D392" t="s">
        <v>36</v>
      </c>
      <c r="E392" t="s">
        <v>42</v>
      </c>
      <c r="F392">
        <v>7</v>
      </c>
      <c r="G392" s="4">
        <v>3526</v>
      </c>
      <c r="H392" s="4">
        <f t="shared" si="6"/>
        <v>24682</v>
      </c>
      <c r="I392" t="s">
        <v>33</v>
      </c>
    </row>
    <row r="393" spans="1:9" x14ac:dyDescent="0.3">
      <c r="A393" t="s">
        <v>437</v>
      </c>
      <c r="B393" s="9">
        <v>46308</v>
      </c>
      <c r="C393" t="s">
        <v>62</v>
      </c>
      <c r="D393" t="s">
        <v>36</v>
      </c>
      <c r="E393" t="s">
        <v>32</v>
      </c>
      <c r="F393">
        <v>3</v>
      </c>
      <c r="G393" s="4">
        <v>4745</v>
      </c>
      <c r="H393" s="4">
        <f t="shared" si="6"/>
        <v>14235</v>
      </c>
      <c r="I393" t="s">
        <v>33</v>
      </c>
    </row>
    <row r="394" spans="1:9" x14ac:dyDescent="0.3">
      <c r="A394" t="s">
        <v>438</v>
      </c>
      <c r="B394" s="9">
        <v>46305</v>
      </c>
      <c r="C394" t="s">
        <v>48</v>
      </c>
      <c r="D394" t="s">
        <v>36</v>
      </c>
      <c r="E394" t="s">
        <v>49</v>
      </c>
      <c r="F394">
        <v>8</v>
      </c>
      <c r="G394" s="4">
        <v>2787</v>
      </c>
      <c r="H394" s="4">
        <f t="shared" si="6"/>
        <v>22296</v>
      </c>
      <c r="I394" t="s">
        <v>33</v>
      </c>
    </row>
    <row r="395" spans="1:9" x14ac:dyDescent="0.3">
      <c r="A395" t="s">
        <v>439</v>
      </c>
      <c r="B395" s="9">
        <v>46307</v>
      </c>
      <c r="C395" t="s">
        <v>25</v>
      </c>
      <c r="D395" t="s">
        <v>41</v>
      </c>
      <c r="E395" t="s">
        <v>27</v>
      </c>
      <c r="F395">
        <v>4</v>
      </c>
      <c r="G395" s="4">
        <v>29212</v>
      </c>
      <c r="H395" s="4">
        <f t="shared" si="6"/>
        <v>116848</v>
      </c>
      <c r="I395" t="s">
        <v>33</v>
      </c>
    </row>
    <row r="396" spans="1:9" x14ac:dyDescent="0.3">
      <c r="A396" t="s">
        <v>440</v>
      </c>
      <c r="B396" s="9">
        <v>46313</v>
      </c>
      <c r="C396" t="s">
        <v>56</v>
      </c>
      <c r="D396" t="s">
        <v>41</v>
      </c>
      <c r="E396" t="s">
        <v>32</v>
      </c>
      <c r="F396">
        <v>7</v>
      </c>
      <c r="G396" s="4">
        <v>6017</v>
      </c>
      <c r="H396" s="4">
        <f t="shared" si="6"/>
        <v>42119</v>
      </c>
      <c r="I396" t="s">
        <v>39</v>
      </c>
    </row>
    <row r="397" spans="1:9" x14ac:dyDescent="0.3">
      <c r="A397" t="s">
        <v>441</v>
      </c>
      <c r="B397" s="9">
        <v>46311</v>
      </c>
      <c r="C397" t="s">
        <v>48</v>
      </c>
      <c r="D397" t="s">
        <v>38</v>
      </c>
      <c r="E397" t="s">
        <v>42</v>
      </c>
      <c r="F397">
        <v>1</v>
      </c>
      <c r="G397" s="4">
        <v>1906</v>
      </c>
      <c r="H397" s="4">
        <f t="shared" si="6"/>
        <v>1906</v>
      </c>
      <c r="I397" t="s">
        <v>33</v>
      </c>
    </row>
    <row r="398" spans="1:9" x14ac:dyDescent="0.3">
      <c r="A398" t="s">
        <v>442</v>
      </c>
      <c r="B398" s="9">
        <v>46304</v>
      </c>
      <c r="C398" t="s">
        <v>52</v>
      </c>
      <c r="D398" t="s">
        <v>31</v>
      </c>
      <c r="E398" t="s">
        <v>49</v>
      </c>
      <c r="F398">
        <v>3</v>
      </c>
      <c r="G398" s="4">
        <v>3447</v>
      </c>
      <c r="H398" s="4">
        <f t="shared" si="6"/>
        <v>10341</v>
      </c>
      <c r="I398" t="s">
        <v>33</v>
      </c>
    </row>
    <row r="399" spans="1:9" x14ac:dyDescent="0.3">
      <c r="A399" t="s">
        <v>443</v>
      </c>
      <c r="B399" s="9">
        <v>46311</v>
      </c>
      <c r="C399" t="s">
        <v>30</v>
      </c>
      <c r="D399" t="s">
        <v>31</v>
      </c>
      <c r="E399" t="s">
        <v>46</v>
      </c>
      <c r="F399">
        <v>5</v>
      </c>
      <c r="G399" s="4">
        <v>36793</v>
      </c>
      <c r="H399" s="4">
        <f t="shared" si="6"/>
        <v>183965</v>
      </c>
      <c r="I399" t="s">
        <v>39</v>
      </c>
    </row>
    <row r="400" spans="1:9" x14ac:dyDescent="0.3">
      <c r="A400" t="s">
        <v>444</v>
      </c>
      <c r="B400" s="9">
        <v>46307</v>
      </c>
      <c r="C400" t="s">
        <v>25</v>
      </c>
      <c r="D400" t="s">
        <v>41</v>
      </c>
      <c r="E400" t="s">
        <v>42</v>
      </c>
      <c r="F400">
        <v>4</v>
      </c>
      <c r="G400" s="4">
        <v>3582</v>
      </c>
      <c r="H400" s="4">
        <f t="shared" si="6"/>
        <v>14328</v>
      </c>
      <c r="I400" t="s">
        <v>33</v>
      </c>
    </row>
    <row r="401" spans="1:9" x14ac:dyDescent="0.3">
      <c r="A401" t="s">
        <v>445</v>
      </c>
      <c r="B401" s="9">
        <v>46303</v>
      </c>
      <c r="C401" t="s">
        <v>54</v>
      </c>
      <c r="D401" t="s">
        <v>38</v>
      </c>
      <c r="E401" t="s">
        <v>32</v>
      </c>
      <c r="F401">
        <v>5</v>
      </c>
      <c r="G401" s="4">
        <v>3055</v>
      </c>
      <c r="H401" s="4">
        <f t="shared" si="6"/>
        <v>15275</v>
      </c>
      <c r="I401" t="s">
        <v>39</v>
      </c>
    </row>
    <row r="402" spans="1:9" x14ac:dyDescent="0.3">
      <c r="A402" t="s">
        <v>446</v>
      </c>
      <c r="B402" s="9">
        <v>46298</v>
      </c>
      <c r="C402" t="s">
        <v>56</v>
      </c>
      <c r="D402" t="s">
        <v>38</v>
      </c>
      <c r="E402" t="s">
        <v>27</v>
      </c>
      <c r="F402">
        <v>4</v>
      </c>
      <c r="G402" s="4">
        <v>29065</v>
      </c>
      <c r="H402" s="4">
        <f t="shared" si="6"/>
        <v>116260</v>
      </c>
      <c r="I402" t="s">
        <v>28</v>
      </c>
    </row>
    <row r="403" spans="1:9" x14ac:dyDescent="0.3">
      <c r="A403" t="s">
        <v>447</v>
      </c>
      <c r="B403" s="9">
        <v>46307</v>
      </c>
      <c r="C403" t="s">
        <v>62</v>
      </c>
      <c r="D403" t="s">
        <v>36</v>
      </c>
      <c r="E403" t="s">
        <v>42</v>
      </c>
      <c r="F403">
        <v>3</v>
      </c>
      <c r="G403" s="4">
        <v>1792</v>
      </c>
      <c r="H403" s="4">
        <f t="shared" si="6"/>
        <v>5376</v>
      </c>
      <c r="I403" t="s">
        <v>39</v>
      </c>
    </row>
    <row r="404" spans="1:9" x14ac:dyDescent="0.3">
      <c r="A404" t="s">
        <v>448</v>
      </c>
      <c r="B404" s="9">
        <v>46297</v>
      </c>
      <c r="C404" t="s">
        <v>44</v>
      </c>
      <c r="D404" t="s">
        <v>31</v>
      </c>
      <c r="E404" t="s">
        <v>49</v>
      </c>
      <c r="F404">
        <v>3</v>
      </c>
      <c r="G404" s="4">
        <v>1575</v>
      </c>
      <c r="H404" s="4">
        <f t="shared" si="6"/>
        <v>4725</v>
      </c>
      <c r="I404" t="s">
        <v>79</v>
      </c>
    </row>
    <row r="405" spans="1:9" x14ac:dyDescent="0.3">
      <c r="A405" t="s">
        <v>449</v>
      </c>
      <c r="B405" s="9">
        <v>46305</v>
      </c>
      <c r="C405" t="s">
        <v>54</v>
      </c>
      <c r="D405" t="s">
        <v>31</v>
      </c>
      <c r="E405" t="s">
        <v>49</v>
      </c>
      <c r="F405">
        <v>2</v>
      </c>
      <c r="G405" s="4">
        <v>805</v>
      </c>
      <c r="H405" s="4">
        <f t="shared" si="6"/>
        <v>1610</v>
      </c>
      <c r="I405" t="s">
        <v>79</v>
      </c>
    </row>
    <row r="406" spans="1:9" x14ac:dyDescent="0.3">
      <c r="A406" t="s">
        <v>450</v>
      </c>
      <c r="B406" s="9">
        <v>46309</v>
      </c>
      <c r="C406" t="s">
        <v>25</v>
      </c>
      <c r="D406" t="s">
        <v>26</v>
      </c>
      <c r="E406" t="s">
        <v>27</v>
      </c>
      <c r="F406">
        <v>3</v>
      </c>
      <c r="G406" s="4">
        <v>10681</v>
      </c>
      <c r="H406" s="4">
        <f t="shared" si="6"/>
        <v>32043</v>
      </c>
      <c r="I406" t="s">
        <v>33</v>
      </c>
    </row>
    <row r="407" spans="1:9" x14ac:dyDescent="0.3">
      <c r="A407" t="s">
        <v>451</v>
      </c>
      <c r="B407" s="9">
        <v>46306</v>
      </c>
      <c r="C407" t="s">
        <v>52</v>
      </c>
      <c r="D407" t="s">
        <v>41</v>
      </c>
      <c r="E407" t="s">
        <v>32</v>
      </c>
      <c r="F407">
        <v>3</v>
      </c>
      <c r="G407" s="4">
        <v>4930</v>
      </c>
      <c r="H407" s="4">
        <f t="shared" si="6"/>
        <v>14790</v>
      </c>
      <c r="I407" t="s">
        <v>28</v>
      </c>
    </row>
    <row r="408" spans="1:9" x14ac:dyDescent="0.3">
      <c r="A408" t="s">
        <v>452</v>
      </c>
      <c r="B408" s="9">
        <v>46309</v>
      </c>
      <c r="C408" t="s">
        <v>62</v>
      </c>
      <c r="D408" t="s">
        <v>41</v>
      </c>
      <c r="E408" t="s">
        <v>46</v>
      </c>
      <c r="F408">
        <v>2</v>
      </c>
      <c r="G408" s="4">
        <v>27601</v>
      </c>
      <c r="H408" s="4">
        <f t="shared" si="6"/>
        <v>55202</v>
      </c>
      <c r="I408" t="s">
        <v>33</v>
      </c>
    </row>
    <row r="409" spans="1:9" x14ac:dyDescent="0.3">
      <c r="A409" t="s">
        <v>453</v>
      </c>
      <c r="B409" s="9">
        <v>46304</v>
      </c>
      <c r="C409" t="s">
        <v>44</v>
      </c>
      <c r="D409" t="s">
        <v>41</v>
      </c>
      <c r="E409" t="s">
        <v>32</v>
      </c>
      <c r="F409">
        <v>6</v>
      </c>
      <c r="G409" s="4">
        <v>4967</v>
      </c>
      <c r="H409" s="4">
        <f t="shared" si="6"/>
        <v>29802</v>
      </c>
      <c r="I409" t="s">
        <v>33</v>
      </c>
    </row>
    <row r="410" spans="1:9" x14ac:dyDescent="0.3">
      <c r="A410" t="s">
        <v>454</v>
      </c>
      <c r="B410" s="9">
        <v>46298</v>
      </c>
      <c r="C410" t="s">
        <v>56</v>
      </c>
      <c r="D410" t="s">
        <v>26</v>
      </c>
      <c r="E410" t="s">
        <v>46</v>
      </c>
      <c r="F410">
        <v>7</v>
      </c>
      <c r="G410" s="4">
        <v>15475</v>
      </c>
      <c r="H410" s="4">
        <f t="shared" si="6"/>
        <v>108325</v>
      </c>
      <c r="I410" t="s">
        <v>79</v>
      </c>
    </row>
    <row r="411" spans="1:9" x14ac:dyDescent="0.3">
      <c r="A411" t="s">
        <v>455</v>
      </c>
      <c r="B411" s="9">
        <v>46302</v>
      </c>
      <c r="C411" t="s">
        <v>56</v>
      </c>
      <c r="D411" t="s">
        <v>26</v>
      </c>
      <c r="E411" t="s">
        <v>49</v>
      </c>
      <c r="F411">
        <v>5</v>
      </c>
      <c r="G411" s="4">
        <v>1633</v>
      </c>
      <c r="H411" s="4">
        <f t="shared" si="6"/>
        <v>8165</v>
      </c>
      <c r="I411" t="s">
        <v>33</v>
      </c>
    </row>
    <row r="412" spans="1:9" x14ac:dyDescent="0.3">
      <c r="A412" t="s">
        <v>456</v>
      </c>
      <c r="B412" s="9">
        <v>46300</v>
      </c>
      <c r="C412" t="s">
        <v>56</v>
      </c>
      <c r="D412" t="s">
        <v>26</v>
      </c>
      <c r="E412" t="s">
        <v>46</v>
      </c>
      <c r="F412">
        <v>1</v>
      </c>
      <c r="G412" s="4">
        <v>7725</v>
      </c>
      <c r="H412" s="4">
        <f t="shared" si="6"/>
        <v>7725</v>
      </c>
      <c r="I412" t="s">
        <v>28</v>
      </c>
    </row>
    <row r="413" spans="1:9" x14ac:dyDescent="0.3">
      <c r="A413" t="s">
        <v>457</v>
      </c>
      <c r="B413" s="9">
        <v>46310</v>
      </c>
      <c r="C413" t="s">
        <v>25</v>
      </c>
      <c r="D413" t="s">
        <v>38</v>
      </c>
      <c r="E413" t="s">
        <v>27</v>
      </c>
      <c r="F413">
        <v>8</v>
      </c>
      <c r="G413" s="4">
        <v>17459</v>
      </c>
      <c r="H413" s="4">
        <f t="shared" si="6"/>
        <v>139672</v>
      </c>
      <c r="I413" t="s">
        <v>33</v>
      </c>
    </row>
    <row r="414" spans="1:9" x14ac:dyDescent="0.3">
      <c r="A414" t="s">
        <v>458</v>
      </c>
      <c r="B414" s="9">
        <v>46309</v>
      </c>
      <c r="C414" t="s">
        <v>52</v>
      </c>
      <c r="D414" t="s">
        <v>36</v>
      </c>
      <c r="E414" t="s">
        <v>49</v>
      </c>
      <c r="F414">
        <v>3</v>
      </c>
      <c r="G414" s="4">
        <v>1372</v>
      </c>
      <c r="H414" s="4">
        <f t="shared" si="6"/>
        <v>4116</v>
      </c>
      <c r="I414" t="s">
        <v>33</v>
      </c>
    </row>
    <row r="415" spans="1:9" x14ac:dyDescent="0.3">
      <c r="A415" t="s">
        <v>459</v>
      </c>
      <c r="B415" s="9">
        <v>46307</v>
      </c>
      <c r="C415" t="s">
        <v>54</v>
      </c>
      <c r="D415" t="s">
        <v>38</v>
      </c>
      <c r="E415" t="s">
        <v>49</v>
      </c>
      <c r="F415">
        <v>3</v>
      </c>
      <c r="G415" s="4">
        <v>462</v>
      </c>
      <c r="H415" s="4">
        <f t="shared" si="6"/>
        <v>1386</v>
      </c>
      <c r="I415" t="s">
        <v>33</v>
      </c>
    </row>
    <row r="416" spans="1:9" x14ac:dyDescent="0.3">
      <c r="A416" t="s">
        <v>460</v>
      </c>
      <c r="B416" s="9">
        <v>46305</v>
      </c>
      <c r="C416" t="s">
        <v>52</v>
      </c>
      <c r="D416" t="s">
        <v>41</v>
      </c>
      <c r="E416" t="s">
        <v>46</v>
      </c>
      <c r="F416">
        <v>2</v>
      </c>
      <c r="G416" s="4">
        <v>1271</v>
      </c>
      <c r="H416" s="4">
        <f t="shared" si="6"/>
        <v>2542</v>
      </c>
      <c r="I416" t="s">
        <v>33</v>
      </c>
    </row>
    <row r="417" spans="1:9" x14ac:dyDescent="0.3">
      <c r="A417" t="s">
        <v>461</v>
      </c>
      <c r="B417" s="9">
        <v>46298</v>
      </c>
      <c r="C417" t="s">
        <v>48</v>
      </c>
      <c r="D417" t="s">
        <v>31</v>
      </c>
      <c r="E417" t="s">
        <v>27</v>
      </c>
      <c r="F417">
        <v>8</v>
      </c>
      <c r="G417" s="4">
        <v>2804</v>
      </c>
      <c r="H417" s="4">
        <f t="shared" si="6"/>
        <v>22432</v>
      </c>
      <c r="I417" t="s">
        <v>33</v>
      </c>
    </row>
    <row r="418" spans="1:9" x14ac:dyDescent="0.3">
      <c r="A418" t="s">
        <v>462</v>
      </c>
      <c r="B418" s="9">
        <v>46306</v>
      </c>
      <c r="C418" t="s">
        <v>30</v>
      </c>
      <c r="D418" t="s">
        <v>41</v>
      </c>
      <c r="E418" t="s">
        <v>27</v>
      </c>
      <c r="F418">
        <v>8</v>
      </c>
      <c r="G418" s="4">
        <v>4820</v>
      </c>
      <c r="H418" s="4">
        <f t="shared" si="6"/>
        <v>38560</v>
      </c>
      <c r="I418" t="s">
        <v>33</v>
      </c>
    </row>
    <row r="419" spans="1:9" x14ac:dyDescent="0.3">
      <c r="A419" t="s">
        <v>463</v>
      </c>
      <c r="B419" s="9">
        <v>46298</v>
      </c>
      <c r="C419" t="s">
        <v>30</v>
      </c>
      <c r="D419" t="s">
        <v>38</v>
      </c>
      <c r="E419" t="s">
        <v>49</v>
      </c>
      <c r="F419">
        <v>6</v>
      </c>
      <c r="G419" s="4">
        <v>1475</v>
      </c>
      <c r="H419" s="4">
        <f t="shared" si="6"/>
        <v>8850</v>
      </c>
      <c r="I419" t="s">
        <v>33</v>
      </c>
    </row>
    <row r="420" spans="1:9" x14ac:dyDescent="0.3">
      <c r="A420" t="s">
        <v>464</v>
      </c>
      <c r="B420" s="9">
        <v>46300</v>
      </c>
      <c r="C420" t="s">
        <v>48</v>
      </c>
      <c r="D420" t="s">
        <v>38</v>
      </c>
      <c r="E420" t="s">
        <v>42</v>
      </c>
      <c r="F420">
        <v>1</v>
      </c>
      <c r="G420" s="4">
        <v>5099</v>
      </c>
      <c r="H420" s="4">
        <f t="shared" si="6"/>
        <v>5099</v>
      </c>
      <c r="I420" t="s">
        <v>28</v>
      </c>
    </row>
    <row r="421" spans="1:9" x14ac:dyDescent="0.3">
      <c r="A421" t="s">
        <v>465</v>
      </c>
      <c r="B421" s="9">
        <v>46310</v>
      </c>
      <c r="C421" t="s">
        <v>44</v>
      </c>
      <c r="D421" t="s">
        <v>36</v>
      </c>
      <c r="E421" t="s">
        <v>27</v>
      </c>
      <c r="F421">
        <v>7</v>
      </c>
      <c r="G421" s="4">
        <v>22687</v>
      </c>
      <c r="H421" s="4">
        <f t="shared" si="6"/>
        <v>158809</v>
      </c>
      <c r="I421" t="s">
        <v>28</v>
      </c>
    </row>
    <row r="422" spans="1:9" x14ac:dyDescent="0.3">
      <c r="A422" t="s">
        <v>466</v>
      </c>
      <c r="B422" s="9">
        <v>46302</v>
      </c>
      <c r="C422" t="s">
        <v>30</v>
      </c>
      <c r="D422" t="s">
        <v>38</v>
      </c>
      <c r="E422" t="s">
        <v>27</v>
      </c>
      <c r="F422">
        <v>2</v>
      </c>
      <c r="G422" s="4">
        <v>21819</v>
      </c>
      <c r="H422" s="4">
        <f t="shared" si="6"/>
        <v>43638</v>
      </c>
      <c r="I422" t="s">
        <v>28</v>
      </c>
    </row>
    <row r="423" spans="1:9" x14ac:dyDescent="0.3">
      <c r="A423" t="s">
        <v>467</v>
      </c>
      <c r="B423" s="9">
        <v>46307</v>
      </c>
      <c r="C423" t="s">
        <v>62</v>
      </c>
      <c r="D423" t="s">
        <v>26</v>
      </c>
      <c r="E423" t="s">
        <v>27</v>
      </c>
      <c r="F423">
        <v>4</v>
      </c>
      <c r="G423" s="4">
        <v>11575</v>
      </c>
      <c r="H423" s="4">
        <f t="shared" si="6"/>
        <v>46300</v>
      </c>
      <c r="I423" t="s">
        <v>28</v>
      </c>
    </row>
    <row r="424" spans="1:9" x14ac:dyDescent="0.3">
      <c r="A424" t="s">
        <v>468</v>
      </c>
      <c r="B424" s="9">
        <v>46303</v>
      </c>
      <c r="C424" t="s">
        <v>54</v>
      </c>
      <c r="D424" t="s">
        <v>38</v>
      </c>
      <c r="E424" t="s">
        <v>49</v>
      </c>
      <c r="F424">
        <v>4</v>
      </c>
      <c r="G424" s="4">
        <v>2370</v>
      </c>
      <c r="H424" s="4">
        <f t="shared" si="6"/>
        <v>9480</v>
      </c>
      <c r="I424" t="s">
        <v>33</v>
      </c>
    </row>
    <row r="425" spans="1:9" x14ac:dyDescent="0.3">
      <c r="A425" t="s">
        <v>469</v>
      </c>
      <c r="B425" s="9">
        <v>46302</v>
      </c>
      <c r="C425" t="s">
        <v>62</v>
      </c>
      <c r="D425" t="s">
        <v>26</v>
      </c>
      <c r="E425" t="s">
        <v>46</v>
      </c>
      <c r="F425">
        <v>4</v>
      </c>
      <c r="G425" s="4">
        <v>33632</v>
      </c>
      <c r="H425" s="4">
        <f t="shared" si="6"/>
        <v>134528</v>
      </c>
      <c r="I425" t="s">
        <v>33</v>
      </c>
    </row>
    <row r="426" spans="1:9" x14ac:dyDescent="0.3">
      <c r="A426" t="s">
        <v>470</v>
      </c>
      <c r="B426" s="9">
        <v>46303</v>
      </c>
      <c r="C426" t="s">
        <v>56</v>
      </c>
      <c r="D426" t="s">
        <v>31</v>
      </c>
      <c r="E426" t="s">
        <v>46</v>
      </c>
      <c r="F426">
        <v>1</v>
      </c>
      <c r="G426" s="4">
        <v>24864</v>
      </c>
      <c r="H426" s="4">
        <f t="shared" si="6"/>
        <v>24864</v>
      </c>
      <c r="I426" t="s">
        <v>39</v>
      </c>
    </row>
    <row r="427" spans="1:9" x14ac:dyDescent="0.3">
      <c r="A427" t="s">
        <v>471</v>
      </c>
      <c r="B427" s="9">
        <v>46300</v>
      </c>
      <c r="C427" t="s">
        <v>62</v>
      </c>
      <c r="D427" t="s">
        <v>31</v>
      </c>
      <c r="E427" t="s">
        <v>32</v>
      </c>
      <c r="F427">
        <v>6</v>
      </c>
      <c r="G427" s="4">
        <v>4675</v>
      </c>
      <c r="H427" s="4">
        <f t="shared" si="6"/>
        <v>28050</v>
      </c>
      <c r="I427" t="s">
        <v>28</v>
      </c>
    </row>
    <row r="428" spans="1:9" x14ac:dyDescent="0.3">
      <c r="A428" t="s">
        <v>472</v>
      </c>
      <c r="B428" s="9">
        <v>46311</v>
      </c>
      <c r="C428" t="s">
        <v>30</v>
      </c>
      <c r="D428" t="s">
        <v>38</v>
      </c>
      <c r="E428" t="s">
        <v>42</v>
      </c>
      <c r="F428">
        <v>2</v>
      </c>
      <c r="G428" s="4">
        <v>212</v>
      </c>
      <c r="H428" s="4">
        <f t="shared" si="6"/>
        <v>424</v>
      </c>
      <c r="I428" t="s">
        <v>33</v>
      </c>
    </row>
    <row r="429" spans="1:9" x14ac:dyDescent="0.3">
      <c r="A429" t="s">
        <v>473</v>
      </c>
      <c r="B429" s="9">
        <v>46297</v>
      </c>
      <c r="C429" t="s">
        <v>25</v>
      </c>
      <c r="D429" t="s">
        <v>41</v>
      </c>
      <c r="E429" t="s">
        <v>42</v>
      </c>
      <c r="F429">
        <v>5</v>
      </c>
      <c r="G429" s="4">
        <v>5249</v>
      </c>
      <c r="H429" s="4">
        <f t="shared" si="6"/>
        <v>26245</v>
      </c>
      <c r="I429" t="s">
        <v>28</v>
      </c>
    </row>
    <row r="430" spans="1:9" x14ac:dyDescent="0.3">
      <c r="A430" t="s">
        <v>474</v>
      </c>
      <c r="B430" s="9">
        <v>46309</v>
      </c>
      <c r="C430" t="s">
        <v>62</v>
      </c>
      <c r="D430" t="s">
        <v>41</v>
      </c>
      <c r="E430" t="s">
        <v>46</v>
      </c>
      <c r="F430">
        <v>3</v>
      </c>
      <c r="G430" s="4">
        <v>19384</v>
      </c>
      <c r="H430" s="4">
        <f t="shared" si="6"/>
        <v>58152</v>
      </c>
      <c r="I430" t="s">
        <v>33</v>
      </c>
    </row>
    <row r="431" spans="1:9" x14ac:dyDescent="0.3">
      <c r="A431" t="s">
        <v>475</v>
      </c>
      <c r="B431" s="9">
        <v>46298</v>
      </c>
      <c r="C431" t="s">
        <v>52</v>
      </c>
      <c r="D431" t="s">
        <v>36</v>
      </c>
      <c r="E431" t="s">
        <v>42</v>
      </c>
      <c r="F431">
        <v>6</v>
      </c>
      <c r="G431" s="4">
        <v>3300</v>
      </c>
      <c r="H431" s="4">
        <f t="shared" si="6"/>
        <v>19800</v>
      </c>
      <c r="I431" t="s">
        <v>33</v>
      </c>
    </row>
    <row r="432" spans="1:9" x14ac:dyDescent="0.3">
      <c r="A432" t="s">
        <v>476</v>
      </c>
      <c r="B432" s="9">
        <v>46298</v>
      </c>
      <c r="C432" t="s">
        <v>54</v>
      </c>
      <c r="D432" t="s">
        <v>41</v>
      </c>
      <c r="E432" t="s">
        <v>27</v>
      </c>
      <c r="F432">
        <v>1</v>
      </c>
      <c r="G432" s="4">
        <v>10511</v>
      </c>
      <c r="H432" s="4">
        <f t="shared" si="6"/>
        <v>10511</v>
      </c>
      <c r="I432" t="s">
        <v>33</v>
      </c>
    </row>
    <row r="433" spans="1:9" x14ac:dyDescent="0.3">
      <c r="A433" t="s">
        <v>477</v>
      </c>
      <c r="B433" s="9">
        <v>46309</v>
      </c>
      <c r="C433" t="s">
        <v>30</v>
      </c>
      <c r="D433" t="s">
        <v>41</v>
      </c>
      <c r="E433" t="s">
        <v>42</v>
      </c>
      <c r="F433">
        <v>1</v>
      </c>
      <c r="G433" s="4">
        <v>2633</v>
      </c>
      <c r="H433" s="4">
        <f t="shared" si="6"/>
        <v>2633</v>
      </c>
      <c r="I433" t="s">
        <v>28</v>
      </c>
    </row>
    <row r="434" spans="1:9" x14ac:dyDescent="0.3">
      <c r="A434" t="s">
        <v>478</v>
      </c>
      <c r="B434" s="9">
        <v>46301</v>
      </c>
      <c r="C434" t="s">
        <v>30</v>
      </c>
      <c r="D434" t="s">
        <v>38</v>
      </c>
      <c r="E434" t="s">
        <v>27</v>
      </c>
      <c r="F434">
        <v>1</v>
      </c>
      <c r="G434" s="4">
        <v>7868</v>
      </c>
      <c r="H434" s="4">
        <f t="shared" si="6"/>
        <v>7868</v>
      </c>
      <c r="I434" t="s">
        <v>33</v>
      </c>
    </row>
    <row r="435" spans="1:9" x14ac:dyDescent="0.3">
      <c r="A435" t="s">
        <v>479</v>
      </c>
      <c r="B435" s="9">
        <v>46307</v>
      </c>
      <c r="C435" t="s">
        <v>54</v>
      </c>
      <c r="D435" t="s">
        <v>36</v>
      </c>
      <c r="E435" t="s">
        <v>49</v>
      </c>
      <c r="F435">
        <v>3</v>
      </c>
      <c r="G435" s="4">
        <v>3321</v>
      </c>
      <c r="H435" s="4">
        <f t="shared" si="6"/>
        <v>9963</v>
      </c>
      <c r="I435" t="s">
        <v>39</v>
      </c>
    </row>
    <row r="436" spans="1:9" x14ac:dyDescent="0.3">
      <c r="A436" t="s">
        <v>480</v>
      </c>
      <c r="B436" s="9">
        <v>46304</v>
      </c>
      <c r="C436" t="s">
        <v>30</v>
      </c>
      <c r="D436" t="s">
        <v>38</v>
      </c>
      <c r="E436" t="s">
        <v>49</v>
      </c>
      <c r="F436">
        <v>7</v>
      </c>
      <c r="G436" s="4">
        <v>1364</v>
      </c>
      <c r="H436" s="4">
        <f t="shared" si="6"/>
        <v>9548</v>
      </c>
      <c r="I436" t="s">
        <v>33</v>
      </c>
    </row>
    <row r="437" spans="1:9" x14ac:dyDescent="0.3">
      <c r="A437" t="s">
        <v>481</v>
      </c>
      <c r="B437" s="9">
        <v>46304</v>
      </c>
      <c r="C437" t="s">
        <v>30</v>
      </c>
      <c r="D437" t="s">
        <v>41</v>
      </c>
      <c r="E437" t="s">
        <v>32</v>
      </c>
      <c r="F437">
        <v>6</v>
      </c>
      <c r="G437" s="4">
        <v>654</v>
      </c>
      <c r="H437" s="4">
        <f t="shared" si="6"/>
        <v>3924</v>
      </c>
      <c r="I437" t="s">
        <v>33</v>
      </c>
    </row>
    <row r="438" spans="1:9" x14ac:dyDescent="0.3">
      <c r="A438" t="s">
        <v>482</v>
      </c>
      <c r="B438" s="9">
        <v>46301</v>
      </c>
      <c r="C438" t="s">
        <v>44</v>
      </c>
      <c r="D438" t="s">
        <v>36</v>
      </c>
      <c r="E438" t="s">
        <v>49</v>
      </c>
      <c r="F438">
        <v>2</v>
      </c>
      <c r="G438" s="4">
        <v>2600</v>
      </c>
      <c r="H438" s="4">
        <f t="shared" si="6"/>
        <v>5200</v>
      </c>
      <c r="I438" t="s">
        <v>28</v>
      </c>
    </row>
    <row r="439" spans="1:9" x14ac:dyDescent="0.3">
      <c r="A439" t="s">
        <v>483</v>
      </c>
      <c r="B439" s="9">
        <v>46299</v>
      </c>
      <c r="C439" t="s">
        <v>52</v>
      </c>
      <c r="D439" t="s">
        <v>31</v>
      </c>
      <c r="E439" t="s">
        <v>46</v>
      </c>
      <c r="F439">
        <v>1</v>
      </c>
      <c r="G439" s="4">
        <v>2005</v>
      </c>
      <c r="H439" s="4">
        <f t="shared" si="6"/>
        <v>2005</v>
      </c>
      <c r="I439" t="s">
        <v>33</v>
      </c>
    </row>
    <row r="440" spans="1:9" x14ac:dyDescent="0.3">
      <c r="A440" t="s">
        <v>484</v>
      </c>
      <c r="B440" s="9">
        <v>46311</v>
      </c>
      <c r="C440" t="s">
        <v>44</v>
      </c>
      <c r="D440" t="s">
        <v>41</v>
      </c>
      <c r="E440" t="s">
        <v>27</v>
      </c>
      <c r="F440">
        <v>3</v>
      </c>
      <c r="G440" s="4">
        <v>3658</v>
      </c>
      <c r="H440" s="4">
        <f t="shared" si="6"/>
        <v>10974</v>
      </c>
      <c r="I440" t="s">
        <v>33</v>
      </c>
    </row>
    <row r="441" spans="1:9" x14ac:dyDescent="0.3">
      <c r="A441" t="s">
        <v>485</v>
      </c>
      <c r="B441" s="9">
        <v>46309</v>
      </c>
      <c r="C441" t="s">
        <v>52</v>
      </c>
      <c r="D441" t="s">
        <v>26</v>
      </c>
      <c r="E441" t="s">
        <v>27</v>
      </c>
      <c r="F441">
        <v>7</v>
      </c>
      <c r="G441" s="4">
        <v>26102</v>
      </c>
      <c r="H441" s="4">
        <f t="shared" si="6"/>
        <v>182714</v>
      </c>
      <c r="I441" t="s">
        <v>33</v>
      </c>
    </row>
    <row r="442" spans="1:9" x14ac:dyDescent="0.3">
      <c r="A442" t="s">
        <v>486</v>
      </c>
      <c r="B442" s="9">
        <v>46298</v>
      </c>
      <c r="C442" t="s">
        <v>44</v>
      </c>
      <c r="D442" t="s">
        <v>38</v>
      </c>
      <c r="E442" t="s">
        <v>42</v>
      </c>
      <c r="F442">
        <v>1</v>
      </c>
      <c r="G442" s="4">
        <v>1569</v>
      </c>
      <c r="H442" s="4">
        <f t="shared" si="6"/>
        <v>1569</v>
      </c>
      <c r="I442" t="s">
        <v>33</v>
      </c>
    </row>
    <row r="443" spans="1:9" x14ac:dyDescent="0.3">
      <c r="A443" t="s">
        <v>487</v>
      </c>
      <c r="B443" s="9">
        <v>46312</v>
      </c>
      <c r="C443" t="s">
        <v>25</v>
      </c>
      <c r="D443" t="s">
        <v>41</v>
      </c>
      <c r="E443" t="s">
        <v>46</v>
      </c>
      <c r="F443">
        <v>8</v>
      </c>
      <c r="G443" s="4">
        <v>19701</v>
      </c>
      <c r="H443" s="4">
        <f t="shared" si="6"/>
        <v>157608</v>
      </c>
      <c r="I443" t="s">
        <v>39</v>
      </c>
    </row>
    <row r="444" spans="1:9" x14ac:dyDescent="0.3">
      <c r="A444" t="s">
        <v>488</v>
      </c>
      <c r="B444" s="9">
        <v>46305</v>
      </c>
      <c r="C444" t="s">
        <v>44</v>
      </c>
      <c r="D444" t="s">
        <v>38</v>
      </c>
      <c r="E444" t="s">
        <v>42</v>
      </c>
      <c r="F444">
        <v>8</v>
      </c>
      <c r="G444" s="4">
        <v>165</v>
      </c>
      <c r="H444" s="4">
        <f t="shared" si="6"/>
        <v>1320</v>
      </c>
      <c r="I444" t="s">
        <v>33</v>
      </c>
    </row>
    <row r="445" spans="1:9" x14ac:dyDescent="0.3">
      <c r="A445" t="s">
        <v>489</v>
      </c>
      <c r="B445" s="9">
        <v>46305</v>
      </c>
      <c r="C445" t="s">
        <v>54</v>
      </c>
      <c r="D445" t="s">
        <v>31</v>
      </c>
      <c r="E445" t="s">
        <v>27</v>
      </c>
      <c r="F445">
        <v>8</v>
      </c>
      <c r="G445" s="4">
        <v>14567</v>
      </c>
      <c r="H445" s="4">
        <f t="shared" si="6"/>
        <v>116536</v>
      </c>
      <c r="I445" t="s">
        <v>33</v>
      </c>
    </row>
    <row r="446" spans="1:9" x14ac:dyDescent="0.3">
      <c r="A446" t="s">
        <v>490</v>
      </c>
      <c r="B446" s="9">
        <v>46311</v>
      </c>
      <c r="C446" t="s">
        <v>52</v>
      </c>
      <c r="D446" t="s">
        <v>31</v>
      </c>
      <c r="E446" t="s">
        <v>27</v>
      </c>
      <c r="F446">
        <v>3</v>
      </c>
      <c r="G446" s="4">
        <v>2708</v>
      </c>
      <c r="H446" s="4">
        <f t="shared" si="6"/>
        <v>8124</v>
      </c>
      <c r="I446" t="s">
        <v>39</v>
      </c>
    </row>
    <row r="447" spans="1:9" x14ac:dyDescent="0.3">
      <c r="A447" t="s">
        <v>491</v>
      </c>
      <c r="B447" s="9">
        <v>46296</v>
      </c>
      <c r="C447" t="s">
        <v>52</v>
      </c>
      <c r="D447" t="s">
        <v>31</v>
      </c>
      <c r="E447" t="s">
        <v>49</v>
      </c>
      <c r="F447">
        <v>1</v>
      </c>
      <c r="G447" s="4">
        <v>1622</v>
      </c>
      <c r="H447" s="4">
        <f t="shared" si="6"/>
        <v>1622</v>
      </c>
      <c r="I447" t="s">
        <v>33</v>
      </c>
    </row>
    <row r="448" spans="1:9" x14ac:dyDescent="0.3">
      <c r="A448" t="s">
        <v>492</v>
      </c>
      <c r="B448" s="9">
        <v>46308</v>
      </c>
      <c r="C448" t="s">
        <v>54</v>
      </c>
      <c r="D448" t="s">
        <v>38</v>
      </c>
      <c r="E448" t="s">
        <v>27</v>
      </c>
      <c r="F448">
        <v>4</v>
      </c>
      <c r="G448" s="4">
        <v>16256</v>
      </c>
      <c r="H448" s="4">
        <f t="shared" si="6"/>
        <v>65024</v>
      </c>
      <c r="I448" t="s">
        <v>33</v>
      </c>
    </row>
    <row r="449" spans="1:9" x14ac:dyDescent="0.3">
      <c r="A449" t="s">
        <v>493</v>
      </c>
      <c r="B449" s="9">
        <v>46297</v>
      </c>
      <c r="C449" t="s">
        <v>48</v>
      </c>
      <c r="D449" t="s">
        <v>26</v>
      </c>
      <c r="E449" t="s">
        <v>46</v>
      </c>
      <c r="F449">
        <v>1</v>
      </c>
      <c r="G449" s="4">
        <v>16369</v>
      </c>
      <c r="H449" s="4">
        <f t="shared" si="6"/>
        <v>16369</v>
      </c>
      <c r="I449" t="s">
        <v>39</v>
      </c>
    </row>
    <row r="450" spans="1:9" x14ac:dyDescent="0.3">
      <c r="A450" t="s">
        <v>494</v>
      </c>
      <c r="B450" s="9">
        <v>46312</v>
      </c>
      <c r="C450" t="s">
        <v>62</v>
      </c>
      <c r="D450" t="s">
        <v>26</v>
      </c>
      <c r="E450" t="s">
        <v>32</v>
      </c>
      <c r="F450">
        <v>2</v>
      </c>
      <c r="G450" s="4">
        <v>4957</v>
      </c>
      <c r="H450" s="4">
        <f t="shared" ref="H450:H513" si="7">F450*G450</f>
        <v>9914</v>
      </c>
      <c r="I450" t="s">
        <v>33</v>
      </c>
    </row>
    <row r="451" spans="1:9" x14ac:dyDescent="0.3">
      <c r="A451" t="s">
        <v>495</v>
      </c>
      <c r="B451" s="9">
        <v>46300</v>
      </c>
      <c r="C451" t="s">
        <v>62</v>
      </c>
      <c r="D451" t="s">
        <v>38</v>
      </c>
      <c r="E451" t="s">
        <v>42</v>
      </c>
      <c r="F451">
        <v>1</v>
      </c>
      <c r="G451" s="4">
        <v>3663</v>
      </c>
      <c r="H451" s="4">
        <f t="shared" si="7"/>
        <v>3663</v>
      </c>
      <c r="I451" t="s">
        <v>28</v>
      </c>
    </row>
    <row r="452" spans="1:9" x14ac:dyDescent="0.3">
      <c r="A452" t="s">
        <v>496</v>
      </c>
      <c r="B452" s="9">
        <v>46300</v>
      </c>
      <c r="C452" t="s">
        <v>52</v>
      </c>
      <c r="D452" t="s">
        <v>26</v>
      </c>
      <c r="E452" t="s">
        <v>49</v>
      </c>
      <c r="F452">
        <v>6</v>
      </c>
      <c r="G452" s="4">
        <v>1859</v>
      </c>
      <c r="H452" s="4">
        <f t="shared" si="7"/>
        <v>11154</v>
      </c>
      <c r="I452" t="s">
        <v>28</v>
      </c>
    </row>
    <row r="453" spans="1:9" x14ac:dyDescent="0.3">
      <c r="A453" t="s">
        <v>497</v>
      </c>
      <c r="B453" s="9">
        <v>46306</v>
      </c>
      <c r="C453" t="s">
        <v>44</v>
      </c>
      <c r="D453" t="s">
        <v>41</v>
      </c>
      <c r="E453" t="s">
        <v>49</v>
      </c>
      <c r="F453">
        <v>4</v>
      </c>
      <c r="G453" s="4">
        <v>555</v>
      </c>
      <c r="H453" s="4">
        <f t="shared" si="7"/>
        <v>2220</v>
      </c>
      <c r="I453" t="s">
        <v>39</v>
      </c>
    </row>
    <row r="454" spans="1:9" x14ac:dyDescent="0.3">
      <c r="A454" t="s">
        <v>498</v>
      </c>
      <c r="B454" s="9">
        <v>46300</v>
      </c>
      <c r="C454" t="s">
        <v>30</v>
      </c>
      <c r="D454" t="s">
        <v>36</v>
      </c>
      <c r="E454" t="s">
        <v>46</v>
      </c>
      <c r="F454">
        <v>3</v>
      </c>
      <c r="G454" s="4">
        <v>30662</v>
      </c>
      <c r="H454" s="4">
        <f t="shared" si="7"/>
        <v>91986</v>
      </c>
      <c r="I454" t="s">
        <v>33</v>
      </c>
    </row>
    <row r="455" spans="1:9" x14ac:dyDescent="0.3">
      <c r="A455" t="s">
        <v>499</v>
      </c>
      <c r="B455" s="9">
        <v>46309</v>
      </c>
      <c r="C455" t="s">
        <v>30</v>
      </c>
      <c r="D455" t="s">
        <v>31</v>
      </c>
      <c r="E455" t="s">
        <v>49</v>
      </c>
      <c r="F455">
        <v>4</v>
      </c>
      <c r="G455" s="4">
        <v>2101</v>
      </c>
      <c r="H455" s="4">
        <f t="shared" si="7"/>
        <v>8404</v>
      </c>
      <c r="I455" t="s">
        <v>33</v>
      </c>
    </row>
    <row r="456" spans="1:9" x14ac:dyDescent="0.3">
      <c r="A456" t="s">
        <v>500</v>
      </c>
      <c r="B456" s="9">
        <v>46304</v>
      </c>
      <c r="C456" t="s">
        <v>30</v>
      </c>
      <c r="D456" t="s">
        <v>38</v>
      </c>
      <c r="E456" t="s">
        <v>27</v>
      </c>
      <c r="F456">
        <v>5</v>
      </c>
      <c r="G456" s="4">
        <v>29579</v>
      </c>
      <c r="H456" s="4">
        <f t="shared" si="7"/>
        <v>147895</v>
      </c>
      <c r="I456" t="s">
        <v>28</v>
      </c>
    </row>
    <row r="457" spans="1:9" x14ac:dyDescent="0.3">
      <c r="A457" t="s">
        <v>501</v>
      </c>
      <c r="B457" s="9">
        <v>46297</v>
      </c>
      <c r="C457" t="s">
        <v>52</v>
      </c>
      <c r="D457" t="s">
        <v>26</v>
      </c>
      <c r="E457" t="s">
        <v>27</v>
      </c>
      <c r="F457">
        <v>2</v>
      </c>
      <c r="G457" s="4">
        <v>25803</v>
      </c>
      <c r="H457" s="4">
        <f t="shared" si="7"/>
        <v>51606</v>
      </c>
      <c r="I457" t="s">
        <v>33</v>
      </c>
    </row>
    <row r="458" spans="1:9" x14ac:dyDescent="0.3">
      <c r="A458" t="s">
        <v>502</v>
      </c>
      <c r="B458" s="9">
        <v>46307</v>
      </c>
      <c r="C458" t="s">
        <v>62</v>
      </c>
      <c r="D458" t="s">
        <v>31</v>
      </c>
      <c r="E458" t="s">
        <v>46</v>
      </c>
      <c r="F458">
        <v>5</v>
      </c>
      <c r="G458" s="4">
        <v>18250</v>
      </c>
      <c r="H458" s="4">
        <f t="shared" si="7"/>
        <v>91250</v>
      </c>
      <c r="I458" t="s">
        <v>39</v>
      </c>
    </row>
    <row r="459" spans="1:9" x14ac:dyDescent="0.3">
      <c r="A459" t="s">
        <v>503</v>
      </c>
      <c r="B459" s="9">
        <v>46301</v>
      </c>
      <c r="C459" t="s">
        <v>25</v>
      </c>
      <c r="D459" t="s">
        <v>41</v>
      </c>
      <c r="E459" t="s">
        <v>32</v>
      </c>
      <c r="F459">
        <v>4</v>
      </c>
      <c r="G459" s="4">
        <v>975</v>
      </c>
      <c r="H459" s="4">
        <f t="shared" si="7"/>
        <v>3900</v>
      </c>
      <c r="I459" t="s">
        <v>33</v>
      </c>
    </row>
    <row r="460" spans="1:9" x14ac:dyDescent="0.3">
      <c r="A460" t="s">
        <v>504</v>
      </c>
      <c r="B460" s="9">
        <v>46300</v>
      </c>
      <c r="C460" t="s">
        <v>30</v>
      </c>
      <c r="D460" t="s">
        <v>38</v>
      </c>
      <c r="E460" t="s">
        <v>46</v>
      </c>
      <c r="F460">
        <v>4</v>
      </c>
      <c r="G460" s="4">
        <v>9766</v>
      </c>
      <c r="H460" s="4">
        <f t="shared" si="7"/>
        <v>39064</v>
      </c>
      <c r="I460" t="s">
        <v>33</v>
      </c>
    </row>
    <row r="461" spans="1:9" x14ac:dyDescent="0.3">
      <c r="A461" t="s">
        <v>505</v>
      </c>
      <c r="B461" s="9">
        <v>46308</v>
      </c>
      <c r="C461" t="s">
        <v>44</v>
      </c>
      <c r="D461" t="s">
        <v>38</v>
      </c>
      <c r="E461" t="s">
        <v>42</v>
      </c>
      <c r="F461">
        <v>5</v>
      </c>
      <c r="G461" s="4">
        <v>714</v>
      </c>
      <c r="H461" s="4">
        <f t="shared" si="7"/>
        <v>3570</v>
      </c>
      <c r="I461" t="s">
        <v>33</v>
      </c>
    </row>
    <row r="462" spans="1:9" x14ac:dyDescent="0.3">
      <c r="A462" t="s">
        <v>506</v>
      </c>
      <c r="B462" s="9">
        <v>46298</v>
      </c>
      <c r="C462" t="s">
        <v>52</v>
      </c>
      <c r="D462" t="s">
        <v>41</v>
      </c>
      <c r="E462" t="s">
        <v>27</v>
      </c>
      <c r="F462">
        <v>2</v>
      </c>
      <c r="G462" s="4">
        <v>29676</v>
      </c>
      <c r="H462" s="4">
        <f t="shared" si="7"/>
        <v>59352</v>
      </c>
      <c r="I462" t="s">
        <v>39</v>
      </c>
    </row>
    <row r="463" spans="1:9" x14ac:dyDescent="0.3">
      <c r="A463" t="s">
        <v>507</v>
      </c>
      <c r="B463" s="9">
        <v>46299</v>
      </c>
      <c r="C463" t="s">
        <v>25</v>
      </c>
      <c r="D463" t="s">
        <v>41</v>
      </c>
      <c r="E463" t="s">
        <v>46</v>
      </c>
      <c r="F463">
        <v>3</v>
      </c>
      <c r="G463" s="4">
        <v>38810</v>
      </c>
      <c r="H463" s="4">
        <f t="shared" si="7"/>
        <v>116430</v>
      </c>
      <c r="I463" t="s">
        <v>33</v>
      </c>
    </row>
    <row r="464" spans="1:9" x14ac:dyDescent="0.3">
      <c r="A464" t="s">
        <v>508</v>
      </c>
      <c r="B464" s="9">
        <v>46308</v>
      </c>
      <c r="C464" t="s">
        <v>56</v>
      </c>
      <c r="D464" t="s">
        <v>38</v>
      </c>
      <c r="E464" t="s">
        <v>32</v>
      </c>
      <c r="F464">
        <v>7</v>
      </c>
      <c r="G464" s="4">
        <v>1615</v>
      </c>
      <c r="H464" s="4">
        <f t="shared" si="7"/>
        <v>11305</v>
      </c>
      <c r="I464" t="s">
        <v>33</v>
      </c>
    </row>
    <row r="465" spans="1:9" x14ac:dyDescent="0.3">
      <c r="A465" t="s">
        <v>509</v>
      </c>
      <c r="B465" s="9">
        <v>46301</v>
      </c>
      <c r="C465" t="s">
        <v>54</v>
      </c>
      <c r="D465" t="s">
        <v>26</v>
      </c>
      <c r="E465" t="s">
        <v>32</v>
      </c>
      <c r="F465">
        <v>3</v>
      </c>
      <c r="G465" s="4">
        <v>483</v>
      </c>
      <c r="H465" s="4">
        <f t="shared" si="7"/>
        <v>1449</v>
      </c>
      <c r="I465" t="s">
        <v>33</v>
      </c>
    </row>
    <row r="466" spans="1:9" x14ac:dyDescent="0.3">
      <c r="A466" t="s">
        <v>510</v>
      </c>
      <c r="B466" s="9">
        <v>46303</v>
      </c>
      <c r="C466" t="s">
        <v>54</v>
      </c>
      <c r="D466" t="s">
        <v>41</v>
      </c>
      <c r="E466" t="s">
        <v>32</v>
      </c>
      <c r="F466">
        <v>8</v>
      </c>
      <c r="G466" s="4">
        <v>699</v>
      </c>
      <c r="H466" s="4">
        <f t="shared" si="7"/>
        <v>5592</v>
      </c>
      <c r="I466" t="s">
        <v>33</v>
      </c>
    </row>
    <row r="467" spans="1:9" x14ac:dyDescent="0.3">
      <c r="A467" t="s">
        <v>511</v>
      </c>
      <c r="B467" s="9">
        <v>46308</v>
      </c>
      <c r="C467" t="s">
        <v>48</v>
      </c>
      <c r="D467" t="s">
        <v>41</v>
      </c>
      <c r="E467" t="s">
        <v>27</v>
      </c>
      <c r="F467">
        <v>4</v>
      </c>
      <c r="G467" s="4">
        <v>23168</v>
      </c>
      <c r="H467" s="4">
        <f t="shared" si="7"/>
        <v>92672</v>
      </c>
      <c r="I467" t="s">
        <v>79</v>
      </c>
    </row>
    <row r="468" spans="1:9" x14ac:dyDescent="0.3">
      <c r="A468" t="s">
        <v>512</v>
      </c>
      <c r="B468" s="9">
        <v>46313</v>
      </c>
      <c r="C468" t="s">
        <v>25</v>
      </c>
      <c r="D468" t="s">
        <v>41</v>
      </c>
      <c r="E468" t="s">
        <v>49</v>
      </c>
      <c r="F468">
        <v>8</v>
      </c>
      <c r="G468" s="4">
        <v>2480</v>
      </c>
      <c r="H468" s="4">
        <f t="shared" si="7"/>
        <v>19840</v>
      </c>
      <c r="I468" t="s">
        <v>39</v>
      </c>
    </row>
    <row r="469" spans="1:9" x14ac:dyDescent="0.3">
      <c r="A469" t="s">
        <v>513</v>
      </c>
      <c r="B469" s="9">
        <v>46307</v>
      </c>
      <c r="C469" t="s">
        <v>44</v>
      </c>
      <c r="D469" t="s">
        <v>41</v>
      </c>
      <c r="E469" t="s">
        <v>49</v>
      </c>
      <c r="F469">
        <v>3</v>
      </c>
      <c r="G469" s="4">
        <v>356</v>
      </c>
      <c r="H469" s="4">
        <f t="shared" si="7"/>
        <v>1068</v>
      </c>
      <c r="I469" t="s">
        <v>33</v>
      </c>
    </row>
    <row r="470" spans="1:9" x14ac:dyDescent="0.3">
      <c r="A470" t="s">
        <v>514</v>
      </c>
      <c r="B470" s="9">
        <v>46303</v>
      </c>
      <c r="C470" t="s">
        <v>25</v>
      </c>
      <c r="D470" t="s">
        <v>26</v>
      </c>
      <c r="E470" t="s">
        <v>46</v>
      </c>
      <c r="F470">
        <v>8</v>
      </c>
      <c r="G470" s="4">
        <v>35896</v>
      </c>
      <c r="H470" s="4">
        <f t="shared" si="7"/>
        <v>287168</v>
      </c>
      <c r="I470" t="s">
        <v>33</v>
      </c>
    </row>
    <row r="471" spans="1:9" x14ac:dyDescent="0.3">
      <c r="A471" t="s">
        <v>515</v>
      </c>
      <c r="B471" s="9">
        <v>46303</v>
      </c>
      <c r="C471" t="s">
        <v>48</v>
      </c>
      <c r="D471" t="s">
        <v>38</v>
      </c>
      <c r="E471" t="s">
        <v>27</v>
      </c>
      <c r="F471">
        <v>4</v>
      </c>
      <c r="G471" s="4">
        <v>11233</v>
      </c>
      <c r="H471" s="4">
        <f t="shared" si="7"/>
        <v>44932</v>
      </c>
      <c r="I471" t="s">
        <v>33</v>
      </c>
    </row>
    <row r="472" spans="1:9" x14ac:dyDescent="0.3">
      <c r="A472" t="s">
        <v>516</v>
      </c>
      <c r="B472" s="9">
        <v>46297</v>
      </c>
      <c r="C472" t="s">
        <v>52</v>
      </c>
      <c r="D472" t="s">
        <v>31</v>
      </c>
      <c r="E472" t="s">
        <v>32</v>
      </c>
      <c r="F472">
        <v>6</v>
      </c>
      <c r="G472" s="4">
        <v>7861</v>
      </c>
      <c r="H472" s="4">
        <f t="shared" si="7"/>
        <v>47166</v>
      </c>
      <c r="I472" t="s">
        <v>39</v>
      </c>
    </row>
    <row r="473" spans="1:9" x14ac:dyDescent="0.3">
      <c r="A473" t="s">
        <v>517</v>
      </c>
      <c r="B473" s="9">
        <v>46301</v>
      </c>
      <c r="C473" t="s">
        <v>48</v>
      </c>
      <c r="D473" t="s">
        <v>36</v>
      </c>
      <c r="E473" t="s">
        <v>42</v>
      </c>
      <c r="F473">
        <v>6</v>
      </c>
      <c r="G473" s="4">
        <v>3039</v>
      </c>
      <c r="H473" s="4">
        <f t="shared" si="7"/>
        <v>18234</v>
      </c>
      <c r="I473" t="s">
        <v>39</v>
      </c>
    </row>
    <row r="474" spans="1:9" x14ac:dyDescent="0.3">
      <c r="A474" t="s">
        <v>518</v>
      </c>
      <c r="B474" s="9">
        <v>46296</v>
      </c>
      <c r="C474" t="s">
        <v>44</v>
      </c>
      <c r="D474" t="s">
        <v>31</v>
      </c>
      <c r="E474" t="s">
        <v>42</v>
      </c>
      <c r="F474">
        <v>3</v>
      </c>
      <c r="G474" s="4">
        <v>4712</v>
      </c>
      <c r="H474" s="4">
        <f t="shared" si="7"/>
        <v>14136</v>
      </c>
      <c r="I474" t="s">
        <v>39</v>
      </c>
    </row>
    <row r="475" spans="1:9" x14ac:dyDescent="0.3">
      <c r="A475" t="s">
        <v>519</v>
      </c>
      <c r="B475" s="9">
        <v>46311</v>
      </c>
      <c r="C475" t="s">
        <v>54</v>
      </c>
      <c r="D475" t="s">
        <v>36</v>
      </c>
      <c r="E475" t="s">
        <v>32</v>
      </c>
      <c r="F475">
        <v>1</v>
      </c>
      <c r="G475" s="4">
        <v>939</v>
      </c>
      <c r="H475" s="4">
        <f t="shared" si="7"/>
        <v>939</v>
      </c>
      <c r="I475" t="s">
        <v>33</v>
      </c>
    </row>
    <row r="476" spans="1:9" x14ac:dyDescent="0.3">
      <c r="A476" t="s">
        <v>520</v>
      </c>
      <c r="B476" s="9">
        <v>46303</v>
      </c>
      <c r="C476" t="s">
        <v>25</v>
      </c>
      <c r="D476" t="s">
        <v>31</v>
      </c>
      <c r="E476" t="s">
        <v>32</v>
      </c>
      <c r="F476">
        <v>1</v>
      </c>
      <c r="G476" s="4">
        <v>2917</v>
      </c>
      <c r="H476" s="4">
        <f t="shared" si="7"/>
        <v>2917</v>
      </c>
      <c r="I476" t="s">
        <v>39</v>
      </c>
    </row>
    <row r="477" spans="1:9" x14ac:dyDescent="0.3">
      <c r="A477" t="s">
        <v>521</v>
      </c>
      <c r="B477" s="9">
        <v>46302</v>
      </c>
      <c r="C477" t="s">
        <v>48</v>
      </c>
      <c r="D477" t="s">
        <v>26</v>
      </c>
      <c r="E477" t="s">
        <v>27</v>
      </c>
      <c r="F477">
        <v>6</v>
      </c>
      <c r="G477" s="4">
        <v>4451</v>
      </c>
      <c r="H477" s="4">
        <f t="shared" si="7"/>
        <v>26706</v>
      </c>
      <c r="I477" t="s">
        <v>33</v>
      </c>
    </row>
    <row r="478" spans="1:9" x14ac:dyDescent="0.3">
      <c r="A478" t="s">
        <v>522</v>
      </c>
      <c r="B478" s="9">
        <v>46300</v>
      </c>
      <c r="C478" t="s">
        <v>30</v>
      </c>
      <c r="D478" t="s">
        <v>31</v>
      </c>
      <c r="E478" t="s">
        <v>49</v>
      </c>
      <c r="F478">
        <v>2</v>
      </c>
      <c r="G478" s="4">
        <v>1780</v>
      </c>
      <c r="H478" s="4">
        <f t="shared" si="7"/>
        <v>3560</v>
      </c>
      <c r="I478" t="s">
        <v>28</v>
      </c>
    </row>
    <row r="479" spans="1:9" x14ac:dyDescent="0.3">
      <c r="A479" t="s">
        <v>523</v>
      </c>
      <c r="B479" s="9">
        <v>46308</v>
      </c>
      <c r="C479" t="s">
        <v>30</v>
      </c>
      <c r="D479" t="s">
        <v>26</v>
      </c>
      <c r="E479" t="s">
        <v>49</v>
      </c>
      <c r="F479">
        <v>6</v>
      </c>
      <c r="G479" s="4">
        <v>808</v>
      </c>
      <c r="H479" s="4">
        <f t="shared" si="7"/>
        <v>4848</v>
      </c>
      <c r="I479" t="s">
        <v>79</v>
      </c>
    </row>
    <row r="480" spans="1:9" x14ac:dyDescent="0.3">
      <c r="A480" t="s">
        <v>524</v>
      </c>
      <c r="B480" s="9">
        <v>46309</v>
      </c>
      <c r="C480" t="s">
        <v>56</v>
      </c>
      <c r="D480" t="s">
        <v>26</v>
      </c>
      <c r="E480" t="s">
        <v>27</v>
      </c>
      <c r="F480">
        <v>6</v>
      </c>
      <c r="G480" s="4">
        <v>9815</v>
      </c>
      <c r="H480" s="4">
        <f t="shared" si="7"/>
        <v>58890</v>
      </c>
      <c r="I480" t="s">
        <v>28</v>
      </c>
    </row>
    <row r="481" spans="1:9" x14ac:dyDescent="0.3">
      <c r="A481" t="s">
        <v>525</v>
      </c>
      <c r="B481" s="9">
        <v>46301</v>
      </c>
      <c r="C481" t="s">
        <v>62</v>
      </c>
      <c r="D481" t="s">
        <v>26</v>
      </c>
      <c r="E481" t="s">
        <v>49</v>
      </c>
      <c r="F481">
        <v>3</v>
      </c>
      <c r="G481" s="4">
        <v>977</v>
      </c>
      <c r="H481" s="4">
        <f t="shared" si="7"/>
        <v>2931</v>
      </c>
      <c r="I481" t="s">
        <v>28</v>
      </c>
    </row>
    <row r="482" spans="1:9" x14ac:dyDescent="0.3">
      <c r="A482" t="s">
        <v>526</v>
      </c>
      <c r="B482" s="9">
        <v>46308</v>
      </c>
      <c r="C482" t="s">
        <v>25</v>
      </c>
      <c r="D482" t="s">
        <v>36</v>
      </c>
      <c r="E482" t="s">
        <v>42</v>
      </c>
      <c r="F482">
        <v>6</v>
      </c>
      <c r="G482" s="4">
        <v>5108</v>
      </c>
      <c r="H482" s="4">
        <f t="shared" si="7"/>
        <v>30648</v>
      </c>
      <c r="I482" t="s">
        <v>33</v>
      </c>
    </row>
    <row r="483" spans="1:9" x14ac:dyDescent="0.3">
      <c r="A483" t="s">
        <v>527</v>
      </c>
      <c r="B483" s="9">
        <v>46299</v>
      </c>
      <c r="C483" t="s">
        <v>56</v>
      </c>
      <c r="D483" t="s">
        <v>36</v>
      </c>
      <c r="E483" t="s">
        <v>49</v>
      </c>
      <c r="F483">
        <v>2</v>
      </c>
      <c r="G483" s="4">
        <v>1224</v>
      </c>
      <c r="H483" s="4">
        <f t="shared" si="7"/>
        <v>2448</v>
      </c>
      <c r="I483" t="s">
        <v>33</v>
      </c>
    </row>
    <row r="484" spans="1:9" x14ac:dyDescent="0.3">
      <c r="A484" t="s">
        <v>528</v>
      </c>
      <c r="B484" s="9">
        <v>46306</v>
      </c>
      <c r="C484" t="s">
        <v>48</v>
      </c>
      <c r="D484" t="s">
        <v>38</v>
      </c>
      <c r="E484" t="s">
        <v>49</v>
      </c>
      <c r="F484">
        <v>8</v>
      </c>
      <c r="G484" s="4">
        <v>296</v>
      </c>
      <c r="H484" s="4">
        <f t="shared" si="7"/>
        <v>2368</v>
      </c>
      <c r="I484" t="s">
        <v>33</v>
      </c>
    </row>
    <row r="485" spans="1:9" x14ac:dyDescent="0.3">
      <c r="A485" t="s">
        <v>529</v>
      </c>
      <c r="B485" s="9">
        <v>46303</v>
      </c>
      <c r="C485" t="s">
        <v>30</v>
      </c>
      <c r="D485" t="s">
        <v>26</v>
      </c>
      <c r="E485" t="s">
        <v>49</v>
      </c>
      <c r="F485">
        <v>2</v>
      </c>
      <c r="G485" s="4">
        <v>3200</v>
      </c>
      <c r="H485" s="4">
        <f t="shared" si="7"/>
        <v>6400</v>
      </c>
      <c r="I485" t="s">
        <v>33</v>
      </c>
    </row>
    <row r="486" spans="1:9" x14ac:dyDescent="0.3">
      <c r="A486" t="s">
        <v>530</v>
      </c>
      <c r="B486" s="9">
        <v>46308</v>
      </c>
      <c r="C486" t="s">
        <v>56</v>
      </c>
      <c r="D486" t="s">
        <v>41</v>
      </c>
      <c r="E486" t="s">
        <v>27</v>
      </c>
      <c r="F486">
        <v>7</v>
      </c>
      <c r="G486" s="4">
        <v>18657</v>
      </c>
      <c r="H486" s="4">
        <f t="shared" si="7"/>
        <v>130599</v>
      </c>
      <c r="I486" t="s">
        <v>39</v>
      </c>
    </row>
    <row r="487" spans="1:9" x14ac:dyDescent="0.3">
      <c r="A487" t="s">
        <v>531</v>
      </c>
      <c r="B487" s="9">
        <v>46307</v>
      </c>
      <c r="C487" t="s">
        <v>62</v>
      </c>
      <c r="D487" t="s">
        <v>38</v>
      </c>
      <c r="E487" t="s">
        <v>32</v>
      </c>
      <c r="F487">
        <v>4</v>
      </c>
      <c r="G487" s="4">
        <v>1532</v>
      </c>
      <c r="H487" s="4">
        <f t="shared" si="7"/>
        <v>6128</v>
      </c>
      <c r="I487" t="s">
        <v>33</v>
      </c>
    </row>
    <row r="488" spans="1:9" x14ac:dyDescent="0.3">
      <c r="A488" t="s">
        <v>532</v>
      </c>
      <c r="B488" s="9">
        <v>46297</v>
      </c>
      <c r="C488" t="s">
        <v>54</v>
      </c>
      <c r="D488" t="s">
        <v>38</v>
      </c>
      <c r="E488" t="s">
        <v>49</v>
      </c>
      <c r="F488">
        <v>5</v>
      </c>
      <c r="G488" s="4">
        <v>678</v>
      </c>
      <c r="H488" s="4">
        <f t="shared" si="7"/>
        <v>3390</v>
      </c>
      <c r="I488" t="s">
        <v>33</v>
      </c>
    </row>
    <row r="489" spans="1:9" x14ac:dyDescent="0.3">
      <c r="A489" t="s">
        <v>533</v>
      </c>
      <c r="B489" s="9">
        <v>46301</v>
      </c>
      <c r="C489" t="s">
        <v>62</v>
      </c>
      <c r="D489" t="s">
        <v>36</v>
      </c>
      <c r="E489" t="s">
        <v>46</v>
      </c>
      <c r="F489">
        <v>2</v>
      </c>
      <c r="G489" s="4">
        <v>23347</v>
      </c>
      <c r="H489" s="4">
        <f t="shared" si="7"/>
        <v>46694</v>
      </c>
      <c r="I489" t="s">
        <v>33</v>
      </c>
    </row>
    <row r="490" spans="1:9" x14ac:dyDescent="0.3">
      <c r="A490" t="s">
        <v>534</v>
      </c>
      <c r="B490" s="9">
        <v>46311</v>
      </c>
      <c r="C490" t="s">
        <v>25</v>
      </c>
      <c r="D490" t="s">
        <v>41</v>
      </c>
      <c r="E490" t="s">
        <v>27</v>
      </c>
      <c r="F490">
        <v>7</v>
      </c>
      <c r="G490" s="4">
        <v>7647</v>
      </c>
      <c r="H490" s="4">
        <f t="shared" si="7"/>
        <v>53529</v>
      </c>
      <c r="I490" t="s">
        <v>33</v>
      </c>
    </row>
    <row r="491" spans="1:9" x14ac:dyDescent="0.3">
      <c r="A491" t="s">
        <v>535</v>
      </c>
      <c r="B491" s="9">
        <v>46306</v>
      </c>
      <c r="C491" t="s">
        <v>52</v>
      </c>
      <c r="D491" t="s">
        <v>36</v>
      </c>
      <c r="E491" t="s">
        <v>32</v>
      </c>
      <c r="F491">
        <v>5</v>
      </c>
      <c r="G491" s="4">
        <v>5611</v>
      </c>
      <c r="H491" s="4">
        <f t="shared" si="7"/>
        <v>28055</v>
      </c>
      <c r="I491" t="s">
        <v>33</v>
      </c>
    </row>
    <row r="492" spans="1:9" x14ac:dyDescent="0.3">
      <c r="A492" t="s">
        <v>536</v>
      </c>
      <c r="B492" s="9">
        <v>46303</v>
      </c>
      <c r="C492" t="s">
        <v>30</v>
      </c>
      <c r="D492" t="s">
        <v>38</v>
      </c>
      <c r="E492" t="s">
        <v>32</v>
      </c>
      <c r="F492">
        <v>8</v>
      </c>
      <c r="G492" s="4">
        <v>1458</v>
      </c>
      <c r="H492" s="4">
        <f t="shared" si="7"/>
        <v>11664</v>
      </c>
      <c r="I492" t="s">
        <v>33</v>
      </c>
    </row>
    <row r="493" spans="1:9" x14ac:dyDescent="0.3">
      <c r="A493" t="s">
        <v>537</v>
      </c>
      <c r="B493" s="9">
        <v>46296</v>
      </c>
      <c r="C493" t="s">
        <v>62</v>
      </c>
      <c r="D493" t="s">
        <v>38</v>
      </c>
      <c r="E493" t="s">
        <v>49</v>
      </c>
      <c r="F493">
        <v>8</v>
      </c>
      <c r="G493" s="4">
        <v>1067</v>
      </c>
      <c r="H493" s="4">
        <f t="shared" si="7"/>
        <v>8536</v>
      </c>
      <c r="I493" t="s">
        <v>33</v>
      </c>
    </row>
    <row r="494" spans="1:9" x14ac:dyDescent="0.3">
      <c r="A494" t="s">
        <v>538</v>
      </c>
      <c r="B494" s="9">
        <v>46302</v>
      </c>
      <c r="C494" t="s">
        <v>48</v>
      </c>
      <c r="D494" t="s">
        <v>26</v>
      </c>
      <c r="E494" t="s">
        <v>46</v>
      </c>
      <c r="F494">
        <v>8</v>
      </c>
      <c r="G494" s="4">
        <v>8769</v>
      </c>
      <c r="H494" s="4">
        <f t="shared" si="7"/>
        <v>70152</v>
      </c>
      <c r="I494" t="s">
        <v>33</v>
      </c>
    </row>
    <row r="495" spans="1:9" x14ac:dyDescent="0.3">
      <c r="A495" t="s">
        <v>539</v>
      </c>
      <c r="B495" s="9">
        <v>46308</v>
      </c>
      <c r="C495" t="s">
        <v>56</v>
      </c>
      <c r="D495" t="s">
        <v>41</v>
      </c>
      <c r="E495" t="s">
        <v>49</v>
      </c>
      <c r="F495">
        <v>2</v>
      </c>
      <c r="G495" s="4">
        <v>2879</v>
      </c>
      <c r="H495" s="4">
        <f t="shared" si="7"/>
        <v>5758</v>
      </c>
      <c r="I495" t="s">
        <v>33</v>
      </c>
    </row>
    <row r="496" spans="1:9" x14ac:dyDescent="0.3">
      <c r="A496" t="s">
        <v>540</v>
      </c>
      <c r="B496" s="9">
        <v>46301</v>
      </c>
      <c r="C496" t="s">
        <v>44</v>
      </c>
      <c r="D496" t="s">
        <v>41</v>
      </c>
      <c r="E496" t="s">
        <v>49</v>
      </c>
      <c r="F496">
        <v>3</v>
      </c>
      <c r="G496" s="4">
        <v>2075</v>
      </c>
      <c r="H496" s="4">
        <f t="shared" si="7"/>
        <v>6225</v>
      </c>
      <c r="I496" t="s">
        <v>33</v>
      </c>
    </row>
    <row r="497" spans="1:9" x14ac:dyDescent="0.3">
      <c r="A497" t="s">
        <v>541</v>
      </c>
      <c r="B497" s="9">
        <v>46310</v>
      </c>
      <c r="C497" t="s">
        <v>56</v>
      </c>
      <c r="D497" t="s">
        <v>26</v>
      </c>
      <c r="E497" t="s">
        <v>27</v>
      </c>
      <c r="F497">
        <v>5</v>
      </c>
      <c r="G497" s="4">
        <v>20989</v>
      </c>
      <c r="H497" s="4">
        <f t="shared" si="7"/>
        <v>104945</v>
      </c>
      <c r="I497" t="s">
        <v>33</v>
      </c>
    </row>
    <row r="498" spans="1:9" x14ac:dyDescent="0.3">
      <c r="A498" t="s">
        <v>542</v>
      </c>
      <c r="B498" s="9">
        <v>46299</v>
      </c>
      <c r="C498" t="s">
        <v>30</v>
      </c>
      <c r="D498" t="s">
        <v>26</v>
      </c>
      <c r="E498" t="s">
        <v>42</v>
      </c>
      <c r="F498">
        <v>7</v>
      </c>
      <c r="G498" s="4">
        <v>4931</v>
      </c>
      <c r="H498" s="4">
        <f t="shared" si="7"/>
        <v>34517</v>
      </c>
      <c r="I498" t="s">
        <v>33</v>
      </c>
    </row>
    <row r="499" spans="1:9" x14ac:dyDescent="0.3">
      <c r="A499" t="s">
        <v>543</v>
      </c>
      <c r="B499" s="9">
        <v>46297</v>
      </c>
      <c r="C499" t="s">
        <v>62</v>
      </c>
      <c r="D499" t="s">
        <v>31</v>
      </c>
      <c r="E499" t="s">
        <v>32</v>
      </c>
      <c r="F499">
        <v>8</v>
      </c>
      <c r="G499" s="4">
        <v>4891</v>
      </c>
      <c r="H499" s="4">
        <f t="shared" si="7"/>
        <v>39128</v>
      </c>
      <c r="I499" t="s">
        <v>39</v>
      </c>
    </row>
    <row r="500" spans="1:9" x14ac:dyDescent="0.3">
      <c r="A500" t="s">
        <v>544</v>
      </c>
      <c r="B500" s="9">
        <v>46311</v>
      </c>
      <c r="C500" t="s">
        <v>54</v>
      </c>
      <c r="D500" t="s">
        <v>38</v>
      </c>
      <c r="E500" t="s">
        <v>32</v>
      </c>
      <c r="F500">
        <v>1</v>
      </c>
      <c r="G500" s="4">
        <v>4313</v>
      </c>
      <c r="H500" s="4">
        <f t="shared" si="7"/>
        <v>4313</v>
      </c>
      <c r="I500" t="s">
        <v>33</v>
      </c>
    </row>
    <row r="501" spans="1:9" x14ac:dyDescent="0.3">
      <c r="A501" t="s">
        <v>545</v>
      </c>
      <c r="B501" s="9">
        <v>46312</v>
      </c>
      <c r="C501" t="s">
        <v>48</v>
      </c>
      <c r="D501" t="s">
        <v>38</v>
      </c>
      <c r="E501" t="s">
        <v>32</v>
      </c>
      <c r="F501">
        <v>3</v>
      </c>
      <c r="G501" s="4">
        <v>7974</v>
      </c>
      <c r="H501" s="4">
        <f t="shared" si="7"/>
        <v>23922</v>
      </c>
      <c r="I501" t="s">
        <v>79</v>
      </c>
    </row>
    <row r="502" spans="1:9" x14ac:dyDescent="0.3">
      <c r="A502" t="s">
        <v>546</v>
      </c>
      <c r="B502" s="9">
        <v>46302</v>
      </c>
      <c r="C502" t="s">
        <v>52</v>
      </c>
      <c r="D502" t="s">
        <v>36</v>
      </c>
      <c r="E502" t="s">
        <v>46</v>
      </c>
      <c r="F502">
        <v>7</v>
      </c>
      <c r="G502" s="4">
        <v>6335</v>
      </c>
      <c r="H502" s="4">
        <f t="shared" si="7"/>
        <v>44345</v>
      </c>
      <c r="I502" t="s">
        <v>79</v>
      </c>
    </row>
    <row r="503" spans="1:9" x14ac:dyDescent="0.3">
      <c r="A503" t="s">
        <v>547</v>
      </c>
      <c r="B503" s="9">
        <v>46309</v>
      </c>
      <c r="C503" t="s">
        <v>52</v>
      </c>
      <c r="D503" t="s">
        <v>36</v>
      </c>
      <c r="E503" t="s">
        <v>42</v>
      </c>
      <c r="F503">
        <v>5</v>
      </c>
      <c r="G503" s="4">
        <v>2719</v>
      </c>
      <c r="H503" s="4">
        <f t="shared" si="7"/>
        <v>13595</v>
      </c>
      <c r="I503" t="s">
        <v>39</v>
      </c>
    </row>
    <row r="504" spans="1:9" x14ac:dyDescent="0.3">
      <c r="A504" t="s">
        <v>548</v>
      </c>
      <c r="B504" s="9">
        <v>46298</v>
      </c>
      <c r="C504" t="s">
        <v>30</v>
      </c>
      <c r="D504" t="s">
        <v>41</v>
      </c>
      <c r="E504" t="s">
        <v>42</v>
      </c>
      <c r="F504">
        <v>7</v>
      </c>
      <c r="G504" s="4">
        <v>4622</v>
      </c>
      <c r="H504" s="4">
        <f t="shared" si="7"/>
        <v>32354</v>
      </c>
      <c r="I504" t="s">
        <v>33</v>
      </c>
    </row>
    <row r="505" spans="1:9" x14ac:dyDescent="0.3">
      <c r="A505" t="s">
        <v>549</v>
      </c>
      <c r="B505" s="9">
        <v>46304</v>
      </c>
      <c r="C505" t="s">
        <v>56</v>
      </c>
      <c r="D505" t="s">
        <v>38</v>
      </c>
      <c r="E505" t="s">
        <v>42</v>
      </c>
      <c r="F505">
        <v>7</v>
      </c>
      <c r="G505" s="4">
        <v>1021</v>
      </c>
      <c r="H505" s="4">
        <f t="shared" si="7"/>
        <v>7147</v>
      </c>
      <c r="I505" t="s">
        <v>33</v>
      </c>
    </row>
    <row r="506" spans="1:9" x14ac:dyDescent="0.3">
      <c r="A506" t="s">
        <v>550</v>
      </c>
      <c r="B506" s="9">
        <v>46300</v>
      </c>
      <c r="C506" t="s">
        <v>30</v>
      </c>
      <c r="D506" t="s">
        <v>38</v>
      </c>
      <c r="E506" t="s">
        <v>42</v>
      </c>
      <c r="F506">
        <v>2</v>
      </c>
      <c r="G506" s="4">
        <v>2443</v>
      </c>
      <c r="H506" s="4">
        <f t="shared" si="7"/>
        <v>4886</v>
      </c>
      <c r="I506" t="s">
        <v>39</v>
      </c>
    </row>
    <row r="507" spans="1:9" x14ac:dyDescent="0.3">
      <c r="A507" t="s">
        <v>551</v>
      </c>
      <c r="B507" s="9">
        <v>46307</v>
      </c>
      <c r="C507" t="s">
        <v>62</v>
      </c>
      <c r="D507" t="s">
        <v>26</v>
      </c>
      <c r="E507" t="s">
        <v>32</v>
      </c>
      <c r="F507">
        <v>8</v>
      </c>
      <c r="G507" s="4">
        <v>4886</v>
      </c>
      <c r="H507" s="4">
        <f t="shared" si="7"/>
        <v>39088</v>
      </c>
      <c r="I507" t="s">
        <v>33</v>
      </c>
    </row>
    <row r="508" spans="1:9" x14ac:dyDescent="0.3">
      <c r="A508" t="s">
        <v>552</v>
      </c>
      <c r="B508" s="9">
        <v>46297</v>
      </c>
      <c r="C508" t="s">
        <v>48</v>
      </c>
      <c r="D508" t="s">
        <v>26</v>
      </c>
      <c r="E508" t="s">
        <v>32</v>
      </c>
      <c r="F508">
        <v>3</v>
      </c>
      <c r="G508" s="4">
        <v>5264</v>
      </c>
      <c r="H508" s="4">
        <f t="shared" si="7"/>
        <v>15792</v>
      </c>
      <c r="I508" t="s">
        <v>33</v>
      </c>
    </row>
    <row r="509" spans="1:9" x14ac:dyDescent="0.3">
      <c r="A509" t="s">
        <v>553</v>
      </c>
      <c r="B509" s="9">
        <v>46308</v>
      </c>
      <c r="C509" t="s">
        <v>25</v>
      </c>
      <c r="D509" t="s">
        <v>41</v>
      </c>
      <c r="E509" t="s">
        <v>49</v>
      </c>
      <c r="F509">
        <v>4</v>
      </c>
      <c r="G509" s="4">
        <v>451</v>
      </c>
      <c r="H509" s="4">
        <f t="shared" si="7"/>
        <v>1804</v>
      </c>
      <c r="I509" t="s">
        <v>28</v>
      </c>
    </row>
    <row r="510" spans="1:9" x14ac:dyDescent="0.3">
      <c r="A510" t="s">
        <v>554</v>
      </c>
      <c r="B510" s="9">
        <v>46304</v>
      </c>
      <c r="C510" t="s">
        <v>44</v>
      </c>
      <c r="D510" t="s">
        <v>38</v>
      </c>
      <c r="E510" t="s">
        <v>49</v>
      </c>
      <c r="F510">
        <v>5</v>
      </c>
      <c r="G510" s="4">
        <v>1523</v>
      </c>
      <c r="H510" s="4">
        <f t="shared" si="7"/>
        <v>7615</v>
      </c>
      <c r="I510" t="s">
        <v>33</v>
      </c>
    </row>
    <row r="511" spans="1:9" x14ac:dyDescent="0.3">
      <c r="A511" t="s">
        <v>555</v>
      </c>
      <c r="B511" s="9">
        <v>46311</v>
      </c>
      <c r="C511" t="s">
        <v>30</v>
      </c>
      <c r="D511" t="s">
        <v>36</v>
      </c>
      <c r="E511" t="s">
        <v>27</v>
      </c>
      <c r="F511">
        <v>5</v>
      </c>
      <c r="G511" s="4">
        <v>26870</v>
      </c>
      <c r="H511" s="4">
        <f t="shared" si="7"/>
        <v>134350</v>
      </c>
      <c r="I511" t="s">
        <v>33</v>
      </c>
    </row>
    <row r="512" spans="1:9" x14ac:dyDescent="0.3">
      <c r="A512" t="s">
        <v>556</v>
      </c>
      <c r="B512" s="9">
        <v>46306</v>
      </c>
      <c r="C512" t="s">
        <v>54</v>
      </c>
      <c r="D512" t="s">
        <v>41</v>
      </c>
      <c r="E512" t="s">
        <v>42</v>
      </c>
      <c r="F512">
        <v>2</v>
      </c>
      <c r="G512" s="4">
        <v>1639</v>
      </c>
      <c r="H512" s="4">
        <f t="shared" si="7"/>
        <v>3278</v>
      </c>
      <c r="I512" t="s">
        <v>33</v>
      </c>
    </row>
    <row r="513" spans="1:9" x14ac:dyDescent="0.3">
      <c r="A513" t="s">
        <v>557</v>
      </c>
      <c r="B513" s="9">
        <v>46309</v>
      </c>
      <c r="C513" t="s">
        <v>56</v>
      </c>
      <c r="D513" t="s">
        <v>31</v>
      </c>
      <c r="E513" t="s">
        <v>49</v>
      </c>
      <c r="F513">
        <v>1</v>
      </c>
      <c r="G513" s="4">
        <v>2360</v>
      </c>
      <c r="H513" s="4">
        <f t="shared" si="7"/>
        <v>2360</v>
      </c>
      <c r="I513" t="s">
        <v>39</v>
      </c>
    </row>
    <row r="514" spans="1:9" x14ac:dyDescent="0.3">
      <c r="A514" t="s">
        <v>558</v>
      </c>
      <c r="B514" s="9">
        <v>46298</v>
      </c>
      <c r="C514" t="s">
        <v>54</v>
      </c>
      <c r="D514" t="s">
        <v>31</v>
      </c>
      <c r="E514" t="s">
        <v>32</v>
      </c>
      <c r="F514">
        <v>3</v>
      </c>
      <c r="G514" s="4">
        <v>6593</v>
      </c>
      <c r="H514" s="4">
        <f t="shared" ref="H514:H577" si="8">F514*G514</f>
        <v>19779</v>
      </c>
      <c r="I514" t="s">
        <v>39</v>
      </c>
    </row>
    <row r="515" spans="1:9" x14ac:dyDescent="0.3">
      <c r="A515" t="s">
        <v>559</v>
      </c>
      <c r="B515" s="9">
        <v>46296</v>
      </c>
      <c r="C515" t="s">
        <v>48</v>
      </c>
      <c r="D515" t="s">
        <v>36</v>
      </c>
      <c r="E515" t="s">
        <v>27</v>
      </c>
      <c r="F515">
        <v>1</v>
      </c>
      <c r="G515" s="4">
        <v>10675</v>
      </c>
      <c r="H515" s="4">
        <f t="shared" si="8"/>
        <v>10675</v>
      </c>
      <c r="I515" t="s">
        <v>33</v>
      </c>
    </row>
    <row r="516" spans="1:9" x14ac:dyDescent="0.3">
      <c r="A516" t="s">
        <v>560</v>
      </c>
      <c r="B516" s="9">
        <v>46297</v>
      </c>
      <c r="C516" t="s">
        <v>44</v>
      </c>
      <c r="D516" t="s">
        <v>36</v>
      </c>
      <c r="E516" t="s">
        <v>49</v>
      </c>
      <c r="F516">
        <v>6</v>
      </c>
      <c r="G516" s="4">
        <v>2151</v>
      </c>
      <c r="H516" s="4">
        <f t="shared" si="8"/>
        <v>12906</v>
      </c>
      <c r="I516" t="s">
        <v>33</v>
      </c>
    </row>
    <row r="517" spans="1:9" x14ac:dyDescent="0.3">
      <c r="A517" t="s">
        <v>561</v>
      </c>
      <c r="B517" s="9">
        <v>46299</v>
      </c>
      <c r="C517" t="s">
        <v>25</v>
      </c>
      <c r="D517" t="s">
        <v>36</v>
      </c>
      <c r="E517" t="s">
        <v>49</v>
      </c>
      <c r="F517">
        <v>8</v>
      </c>
      <c r="G517" s="4">
        <v>2683</v>
      </c>
      <c r="H517" s="4">
        <f t="shared" si="8"/>
        <v>21464</v>
      </c>
      <c r="I517" t="s">
        <v>33</v>
      </c>
    </row>
    <row r="518" spans="1:9" x14ac:dyDescent="0.3">
      <c r="A518" t="s">
        <v>562</v>
      </c>
      <c r="B518" s="9">
        <v>46311</v>
      </c>
      <c r="C518" t="s">
        <v>44</v>
      </c>
      <c r="D518" t="s">
        <v>26</v>
      </c>
      <c r="E518" t="s">
        <v>27</v>
      </c>
      <c r="F518">
        <v>5</v>
      </c>
      <c r="G518" s="4">
        <v>27041</v>
      </c>
      <c r="H518" s="4">
        <f t="shared" si="8"/>
        <v>135205</v>
      </c>
      <c r="I518" t="s">
        <v>39</v>
      </c>
    </row>
    <row r="519" spans="1:9" x14ac:dyDescent="0.3">
      <c r="A519" t="s">
        <v>563</v>
      </c>
      <c r="B519" s="9">
        <v>46298</v>
      </c>
      <c r="C519" t="s">
        <v>54</v>
      </c>
      <c r="D519" t="s">
        <v>38</v>
      </c>
      <c r="E519" t="s">
        <v>32</v>
      </c>
      <c r="F519">
        <v>1</v>
      </c>
      <c r="G519" s="4">
        <v>1534</v>
      </c>
      <c r="H519" s="4">
        <f t="shared" si="8"/>
        <v>1534</v>
      </c>
      <c r="I519" t="s">
        <v>39</v>
      </c>
    </row>
    <row r="520" spans="1:9" x14ac:dyDescent="0.3">
      <c r="A520" t="s">
        <v>564</v>
      </c>
      <c r="B520" s="9">
        <v>46302</v>
      </c>
      <c r="C520" t="s">
        <v>52</v>
      </c>
      <c r="D520" t="s">
        <v>36</v>
      </c>
      <c r="E520" t="s">
        <v>27</v>
      </c>
      <c r="F520">
        <v>5</v>
      </c>
      <c r="G520" s="4">
        <v>23851</v>
      </c>
      <c r="H520" s="4">
        <f t="shared" si="8"/>
        <v>119255</v>
      </c>
      <c r="I520" t="s">
        <v>33</v>
      </c>
    </row>
    <row r="521" spans="1:9" x14ac:dyDescent="0.3">
      <c r="A521" t="s">
        <v>565</v>
      </c>
      <c r="B521" s="9">
        <v>46296</v>
      </c>
      <c r="C521" t="s">
        <v>25</v>
      </c>
      <c r="D521" t="s">
        <v>41</v>
      </c>
      <c r="E521" t="s">
        <v>27</v>
      </c>
      <c r="F521">
        <v>3</v>
      </c>
      <c r="G521" s="4">
        <v>22198</v>
      </c>
      <c r="H521" s="4">
        <f t="shared" si="8"/>
        <v>66594</v>
      </c>
      <c r="I521" t="s">
        <v>39</v>
      </c>
    </row>
    <row r="522" spans="1:9" x14ac:dyDescent="0.3">
      <c r="A522" t="s">
        <v>566</v>
      </c>
      <c r="B522" s="9">
        <v>46303</v>
      </c>
      <c r="C522" t="s">
        <v>54</v>
      </c>
      <c r="D522" t="s">
        <v>31</v>
      </c>
      <c r="E522" t="s">
        <v>49</v>
      </c>
      <c r="F522">
        <v>5</v>
      </c>
      <c r="G522" s="4">
        <v>1985</v>
      </c>
      <c r="H522" s="4">
        <f t="shared" si="8"/>
        <v>9925</v>
      </c>
      <c r="I522" t="s">
        <v>39</v>
      </c>
    </row>
    <row r="523" spans="1:9" x14ac:dyDescent="0.3">
      <c r="A523" t="s">
        <v>567</v>
      </c>
      <c r="B523" s="9">
        <v>46307</v>
      </c>
      <c r="C523" t="s">
        <v>56</v>
      </c>
      <c r="D523" t="s">
        <v>26</v>
      </c>
      <c r="E523" t="s">
        <v>27</v>
      </c>
      <c r="F523">
        <v>8</v>
      </c>
      <c r="G523" s="4">
        <v>12400</v>
      </c>
      <c r="H523" s="4">
        <f t="shared" si="8"/>
        <v>99200</v>
      </c>
      <c r="I523" t="s">
        <v>28</v>
      </c>
    </row>
    <row r="524" spans="1:9" x14ac:dyDescent="0.3">
      <c r="A524" t="s">
        <v>568</v>
      </c>
      <c r="B524" s="9">
        <v>46308</v>
      </c>
      <c r="C524" t="s">
        <v>30</v>
      </c>
      <c r="D524" t="s">
        <v>38</v>
      </c>
      <c r="E524" t="s">
        <v>42</v>
      </c>
      <c r="F524">
        <v>6</v>
      </c>
      <c r="G524" s="4">
        <v>4699</v>
      </c>
      <c r="H524" s="4">
        <f t="shared" si="8"/>
        <v>28194</v>
      </c>
      <c r="I524" t="s">
        <v>28</v>
      </c>
    </row>
    <row r="525" spans="1:9" x14ac:dyDescent="0.3">
      <c r="A525" t="s">
        <v>569</v>
      </c>
      <c r="B525" s="9">
        <v>46305</v>
      </c>
      <c r="C525" t="s">
        <v>54</v>
      </c>
      <c r="D525" t="s">
        <v>38</v>
      </c>
      <c r="E525" t="s">
        <v>32</v>
      </c>
      <c r="F525">
        <v>2</v>
      </c>
      <c r="G525" s="4">
        <v>2954</v>
      </c>
      <c r="H525" s="4">
        <f t="shared" si="8"/>
        <v>5908</v>
      </c>
      <c r="I525" t="s">
        <v>79</v>
      </c>
    </row>
    <row r="526" spans="1:9" x14ac:dyDescent="0.3">
      <c r="A526" t="s">
        <v>570</v>
      </c>
      <c r="B526" s="9">
        <v>46306</v>
      </c>
      <c r="C526" t="s">
        <v>54</v>
      </c>
      <c r="D526" t="s">
        <v>26</v>
      </c>
      <c r="E526" t="s">
        <v>49</v>
      </c>
      <c r="F526">
        <v>4</v>
      </c>
      <c r="G526" s="4">
        <v>864</v>
      </c>
      <c r="H526" s="4">
        <f t="shared" si="8"/>
        <v>3456</v>
      </c>
      <c r="I526" t="s">
        <v>33</v>
      </c>
    </row>
    <row r="527" spans="1:9" x14ac:dyDescent="0.3">
      <c r="A527" t="s">
        <v>571</v>
      </c>
      <c r="B527" s="9">
        <v>46303</v>
      </c>
      <c r="C527" t="s">
        <v>25</v>
      </c>
      <c r="D527" t="s">
        <v>31</v>
      </c>
      <c r="E527" t="s">
        <v>32</v>
      </c>
      <c r="F527">
        <v>6</v>
      </c>
      <c r="G527" s="4">
        <v>5776</v>
      </c>
      <c r="H527" s="4">
        <f t="shared" si="8"/>
        <v>34656</v>
      </c>
      <c r="I527" t="s">
        <v>33</v>
      </c>
    </row>
    <row r="528" spans="1:9" x14ac:dyDescent="0.3">
      <c r="A528" t="s">
        <v>572</v>
      </c>
      <c r="B528" s="9">
        <v>46296</v>
      </c>
      <c r="C528" t="s">
        <v>56</v>
      </c>
      <c r="D528" t="s">
        <v>26</v>
      </c>
      <c r="E528" t="s">
        <v>49</v>
      </c>
      <c r="F528">
        <v>7</v>
      </c>
      <c r="G528" s="4">
        <v>1907</v>
      </c>
      <c r="H528" s="4">
        <f t="shared" si="8"/>
        <v>13349</v>
      </c>
      <c r="I528" t="s">
        <v>33</v>
      </c>
    </row>
    <row r="529" spans="1:9" x14ac:dyDescent="0.3">
      <c r="A529" t="s">
        <v>573</v>
      </c>
      <c r="B529" s="9">
        <v>46297</v>
      </c>
      <c r="C529" t="s">
        <v>52</v>
      </c>
      <c r="D529" t="s">
        <v>26</v>
      </c>
      <c r="E529" t="s">
        <v>27</v>
      </c>
      <c r="F529">
        <v>8</v>
      </c>
      <c r="G529" s="4">
        <v>24515</v>
      </c>
      <c r="H529" s="4">
        <f t="shared" si="8"/>
        <v>196120</v>
      </c>
      <c r="I529" t="s">
        <v>33</v>
      </c>
    </row>
    <row r="530" spans="1:9" x14ac:dyDescent="0.3">
      <c r="A530" t="s">
        <v>574</v>
      </c>
      <c r="B530" s="9">
        <v>46305</v>
      </c>
      <c r="C530" t="s">
        <v>48</v>
      </c>
      <c r="D530" t="s">
        <v>31</v>
      </c>
      <c r="E530" t="s">
        <v>27</v>
      </c>
      <c r="F530">
        <v>5</v>
      </c>
      <c r="G530" s="4">
        <v>5698</v>
      </c>
      <c r="H530" s="4">
        <f t="shared" si="8"/>
        <v>28490</v>
      </c>
      <c r="I530" t="s">
        <v>33</v>
      </c>
    </row>
    <row r="531" spans="1:9" x14ac:dyDescent="0.3">
      <c r="A531" t="s">
        <v>575</v>
      </c>
      <c r="B531" s="9">
        <v>46304</v>
      </c>
      <c r="C531" t="s">
        <v>48</v>
      </c>
      <c r="D531" t="s">
        <v>26</v>
      </c>
      <c r="E531" t="s">
        <v>46</v>
      </c>
      <c r="F531">
        <v>4</v>
      </c>
      <c r="G531" s="4">
        <v>24483</v>
      </c>
      <c r="H531" s="4">
        <f t="shared" si="8"/>
        <v>97932</v>
      </c>
      <c r="I531" t="s">
        <v>33</v>
      </c>
    </row>
    <row r="532" spans="1:9" x14ac:dyDescent="0.3">
      <c r="A532" t="s">
        <v>576</v>
      </c>
      <c r="B532" s="9">
        <v>46305</v>
      </c>
      <c r="C532" t="s">
        <v>62</v>
      </c>
      <c r="D532" t="s">
        <v>26</v>
      </c>
      <c r="E532" t="s">
        <v>49</v>
      </c>
      <c r="F532">
        <v>5</v>
      </c>
      <c r="G532" s="4">
        <v>2648</v>
      </c>
      <c r="H532" s="4">
        <f t="shared" si="8"/>
        <v>13240</v>
      </c>
      <c r="I532" t="s">
        <v>33</v>
      </c>
    </row>
    <row r="533" spans="1:9" x14ac:dyDescent="0.3">
      <c r="A533" t="s">
        <v>577</v>
      </c>
      <c r="B533" s="9">
        <v>46299</v>
      </c>
      <c r="C533" t="s">
        <v>56</v>
      </c>
      <c r="D533" t="s">
        <v>38</v>
      </c>
      <c r="E533" t="s">
        <v>42</v>
      </c>
      <c r="F533">
        <v>2</v>
      </c>
      <c r="G533" s="4">
        <v>3968</v>
      </c>
      <c r="H533" s="4">
        <f t="shared" si="8"/>
        <v>7936</v>
      </c>
      <c r="I533" t="s">
        <v>39</v>
      </c>
    </row>
    <row r="534" spans="1:9" x14ac:dyDescent="0.3">
      <c r="A534" t="s">
        <v>578</v>
      </c>
      <c r="B534" s="9">
        <v>46312</v>
      </c>
      <c r="C534" t="s">
        <v>30</v>
      </c>
      <c r="D534" t="s">
        <v>41</v>
      </c>
      <c r="E534" t="s">
        <v>42</v>
      </c>
      <c r="F534">
        <v>5</v>
      </c>
      <c r="G534" s="4">
        <v>3484</v>
      </c>
      <c r="H534" s="4">
        <f t="shared" si="8"/>
        <v>17420</v>
      </c>
      <c r="I534" t="s">
        <v>33</v>
      </c>
    </row>
    <row r="535" spans="1:9" x14ac:dyDescent="0.3">
      <c r="A535" t="s">
        <v>579</v>
      </c>
      <c r="B535" s="9">
        <v>46300</v>
      </c>
      <c r="C535" t="s">
        <v>48</v>
      </c>
      <c r="D535" t="s">
        <v>36</v>
      </c>
      <c r="E535" t="s">
        <v>49</v>
      </c>
      <c r="F535">
        <v>7</v>
      </c>
      <c r="G535" s="4">
        <v>2582</v>
      </c>
      <c r="H535" s="4">
        <f t="shared" si="8"/>
        <v>18074</v>
      </c>
      <c r="I535" t="s">
        <v>39</v>
      </c>
    </row>
    <row r="536" spans="1:9" x14ac:dyDescent="0.3">
      <c r="A536" t="s">
        <v>580</v>
      </c>
      <c r="B536" s="9">
        <v>46310</v>
      </c>
      <c r="C536" t="s">
        <v>48</v>
      </c>
      <c r="D536" t="s">
        <v>26</v>
      </c>
      <c r="E536" t="s">
        <v>27</v>
      </c>
      <c r="F536">
        <v>2</v>
      </c>
      <c r="G536" s="4">
        <v>18477</v>
      </c>
      <c r="H536" s="4">
        <f t="shared" si="8"/>
        <v>36954</v>
      </c>
      <c r="I536" t="s">
        <v>33</v>
      </c>
    </row>
    <row r="537" spans="1:9" x14ac:dyDescent="0.3">
      <c r="A537" t="s">
        <v>581</v>
      </c>
      <c r="B537" s="9">
        <v>46301</v>
      </c>
      <c r="C537" t="s">
        <v>44</v>
      </c>
      <c r="D537" t="s">
        <v>38</v>
      </c>
      <c r="E537" t="s">
        <v>46</v>
      </c>
      <c r="F537">
        <v>8</v>
      </c>
      <c r="G537" s="4">
        <v>19125</v>
      </c>
      <c r="H537" s="4">
        <f t="shared" si="8"/>
        <v>153000</v>
      </c>
      <c r="I537" t="s">
        <v>33</v>
      </c>
    </row>
    <row r="538" spans="1:9" x14ac:dyDescent="0.3">
      <c r="A538" t="s">
        <v>582</v>
      </c>
      <c r="B538" s="9">
        <v>46301</v>
      </c>
      <c r="C538" t="s">
        <v>48</v>
      </c>
      <c r="D538" t="s">
        <v>41</v>
      </c>
      <c r="E538" t="s">
        <v>46</v>
      </c>
      <c r="F538">
        <v>3</v>
      </c>
      <c r="G538" s="4">
        <v>41470</v>
      </c>
      <c r="H538" s="4">
        <f t="shared" si="8"/>
        <v>124410</v>
      </c>
      <c r="I538" t="s">
        <v>33</v>
      </c>
    </row>
    <row r="539" spans="1:9" x14ac:dyDescent="0.3">
      <c r="A539" t="s">
        <v>583</v>
      </c>
      <c r="B539" s="9">
        <v>46309</v>
      </c>
      <c r="C539" t="s">
        <v>62</v>
      </c>
      <c r="D539" t="s">
        <v>41</v>
      </c>
      <c r="E539" t="s">
        <v>32</v>
      </c>
      <c r="F539">
        <v>7</v>
      </c>
      <c r="G539" s="4">
        <v>238</v>
      </c>
      <c r="H539" s="4">
        <f t="shared" si="8"/>
        <v>1666</v>
      </c>
      <c r="I539" t="s">
        <v>33</v>
      </c>
    </row>
    <row r="540" spans="1:9" x14ac:dyDescent="0.3">
      <c r="A540" t="s">
        <v>584</v>
      </c>
      <c r="B540" s="9">
        <v>46302</v>
      </c>
      <c r="C540" t="s">
        <v>44</v>
      </c>
      <c r="D540" t="s">
        <v>38</v>
      </c>
      <c r="E540" t="s">
        <v>49</v>
      </c>
      <c r="F540">
        <v>4</v>
      </c>
      <c r="G540" s="4">
        <v>323</v>
      </c>
      <c r="H540" s="4">
        <f t="shared" si="8"/>
        <v>1292</v>
      </c>
      <c r="I540" t="s">
        <v>28</v>
      </c>
    </row>
    <row r="541" spans="1:9" x14ac:dyDescent="0.3">
      <c r="A541" t="s">
        <v>585</v>
      </c>
      <c r="B541" s="9">
        <v>46303</v>
      </c>
      <c r="C541" t="s">
        <v>52</v>
      </c>
      <c r="D541" t="s">
        <v>26</v>
      </c>
      <c r="E541" t="s">
        <v>49</v>
      </c>
      <c r="F541">
        <v>3</v>
      </c>
      <c r="G541" s="4">
        <v>670</v>
      </c>
      <c r="H541" s="4">
        <f t="shared" si="8"/>
        <v>2010</v>
      </c>
      <c r="I541" t="s">
        <v>33</v>
      </c>
    </row>
    <row r="542" spans="1:9" x14ac:dyDescent="0.3">
      <c r="A542" t="s">
        <v>586</v>
      </c>
      <c r="B542" s="9">
        <v>46305</v>
      </c>
      <c r="C542" t="s">
        <v>48</v>
      </c>
      <c r="D542" t="s">
        <v>38</v>
      </c>
      <c r="E542" t="s">
        <v>46</v>
      </c>
      <c r="F542">
        <v>5</v>
      </c>
      <c r="G542" s="4">
        <v>20259</v>
      </c>
      <c r="H542" s="4">
        <f t="shared" si="8"/>
        <v>101295</v>
      </c>
      <c r="I542" t="s">
        <v>33</v>
      </c>
    </row>
    <row r="543" spans="1:9" x14ac:dyDescent="0.3">
      <c r="A543" t="s">
        <v>587</v>
      </c>
      <c r="B543" s="9">
        <v>46312</v>
      </c>
      <c r="C543" t="s">
        <v>44</v>
      </c>
      <c r="D543" t="s">
        <v>41</v>
      </c>
      <c r="E543" t="s">
        <v>27</v>
      </c>
      <c r="F543">
        <v>6</v>
      </c>
      <c r="G543" s="4">
        <v>18562</v>
      </c>
      <c r="H543" s="4">
        <f t="shared" si="8"/>
        <v>111372</v>
      </c>
      <c r="I543" t="s">
        <v>33</v>
      </c>
    </row>
    <row r="544" spans="1:9" x14ac:dyDescent="0.3">
      <c r="A544" t="s">
        <v>588</v>
      </c>
      <c r="B544" s="9">
        <v>46302</v>
      </c>
      <c r="C544" t="s">
        <v>48</v>
      </c>
      <c r="D544" t="s">
        <v>41</v>
      </c>
      <c r="E544" t="s">
        <v>46</v>
      </c>
      <c r="F544">
        <v>4</v>
      </c>
      <c r="G544" s="4">
        <v>15901</v>
      </c>
      <c r="H544" s="4">
        <f t="shared" si="8"/>
        <v>63604</v>
      </c>
      <c r="I544" t="s">
        <v>28</v>
      </c>
    </row>
    <row r="545" spans="1:9" x14ac:dyDescent="0.3">
      <c r="A545" t="s">
        <v>589</v>
      </c>
      <c r="B545" s="9">
        <v>46300</v>
      </c>
      <c r="C545" t="s">
        <v>52</v>
      </c>
      <c r="D545" t="s">
        <v>38</v>
      </c>
      <c r="E545" t="s">
        <v>42</v>
      </c>
      <c r="F545">
        <v>3</v>
      </c>
      <c r="G545" s="4">
        <v>1108</v>
      </c>
      <c r="H545" s="4">
        <f t="shared" si="8"/>
        <v>3324</v>
      </c>
      <c r="I545" t="s">
        <v>33</v>
      </c>
    </row>
    <row r="546" spans="1:9" x14ac:dyDescent="0.3">
      <c r="A546" t="s">
        <v>590</v>
      </c>
      <c r="B546" s="9">
        <v>46297</v>
      </c>
      <c r="C546" t="s">
        <v>62</v>
      </c>
      <c r="D546" t="s">
        <v>26</v>
      </c>
      <c r="E546" t="s">
        <v>42</v>
      </c>
      <c r="F546">
        <v>1</v>
      </c>
      <c r="G546" s="4">
        <v>4965</v>
      </c>
      <c r="H546" s="4">
        <f t="shared" si="8"/>
        <v>4965</v>
      </c>
      <c r="I546" t="s">
        <v>79</v>
      </c>
    </row>
    <row r="547" spans="1:9" x14ac:dyDescent="0.3">
      <c r="A547" t="s">
        <v>591</v>
      </c>
      <c r="B547" s="9">
        <v>46299</v>
      </c>
      <c r="C547" t="s">
        <v>25</v>
      </c>
      <c r="D547" t="s">
        <v>38</v>
      </c>
      <c r="E547" t="s">
        <v>46</v>
      </c>
      <c r="F547">
        <v>7</v>
      </c>
      <c r="G547" s="4">
        <v>30318</v>
      </c>
      <c r="H547" s="4">
        <f t="shared" si="8"/>
        <v>212226</v>
      </c>
      <c r="I547" t="s">
        <v>33</v>
      </c>
    </row>
    <row r="548" spans="1:9" x14ac:dyDescent="0.3">
      <c r="A548" t="s">
        <v>592</v>
      </c>
      <c r="B548" s="9">
        <v>46313</v>
      </c>
      <c r="C548" t="s">
        <v>54</v>
      </c>
      <c r="D548" t="s">
        <v>41</v>
      </c>
      <c r="E548" t="s">
        <v>27</v>
      </c>
      <c r="F548">
        <v>4</v>
      </c>
      <c r="G548" s="4">
        <v>25280</v>
      </c>
      <c r="H548" s="4">
        <f t="shared" si="8"/>
        <v>101120</v>
      </c>
      <c r="I548" t="s">
        <v>28</v>
      </c>
    </row>
    <row r="549" spans="1:9" x14ac:dyDescent="0.3">
      <c r="A549" t="s">
        <v>593</v>
      </c>
      <c r="B549" s="9">
        <v>46296</v>
      </c>
      <c r="C549" t="s">
        <v>54</v>
      </c>
      <c r="D549" t="s">
        <v>41</v>
      </c>
      <c r="E549" t="s">
        <v>46</v>
      </c>
      <c r="F549">
        <v>5</v>
      </c>
      <c r="G549" s="4">
        <v>42015</v>
      </c>
      <c r="H549" s="4">
        <f t="shared" si="8"/>
        <v>210075</v>
      </c>
      <c r="I549" t="s">
        <v>33</v>
      </c>
    </row>
    <row r="550" spans="1:9" x14ac:dyDescent="0.3">
      <c r="A550" t="s">
        <v>594</v>
      </c>
      <c r="B550" s="9">
        <v>46300</v>
      </c>
      <c r="C550" t="s">
        <v>62</v>
      </c>
      <c r="D550" t="s">
        <v>38</v>
      </c>
      <c r="E550" t="s">
        <v>42</v>
      </c>
      <c r="F550">
        <v>2</v>
      </c>
      <c r="G550" s="4">
        <v>2415</v>
      </c>
      <c r="H550" s="4">
        <f t="shared" si="8"/>
        <v>4830</v>
      </c>
      <c r="I550" t="s">
        <v>33</v>
      </c>
    </row>
    <row r="551" spans="1:9" x14ac:dyDescent="0.3">
      <c r="A551" t="s">
        <v>595</v>
      </c>
      <c r="B551" s="9">
        <v>46299</v>
      </c>
      <c r="C551" t="s">
        <v>56</v>
      </c>
      <c r="D551" t="s">
        <v>36</v>
      </c>
      <c r="E551" t="s">
        <v>42</v>
      </c>
      <c r="F551">
        <v>4</v>
      </c>
      <c r="G551" s="4">
        <v>2254</v>
      </c>
      <c r="H551" s="4">
        <f t="shared" si="8"/>
        <v>9016</v>
      </c>
      <c r="I551" t="s">
        <v>39</v>
      </c>
    </row>
    <row r="552" spans="1:9" x14ac:dyDescent="0.3">
      <c r="A552" t="s">
        <v>596</v>
      </c>
      <c r="B552" s="9">
        <v>46302</v>
      </c>
      <c r="C552" t="s">
        <v>44</v>
      </c>
      <c r="D552" t="s">
        <v>41</v>
      </c>
      <c r="E552" t="s">
        <v>49</v>
      </c>
      <c r="F552">
        <v>3</v>
      </c>
      <c r="G552" s="4">
        <v>411</v>
      </c>
      <c r="H552" s="4">
        <f t="shared" si="8"/>
        <v>1233</v>
      </c>
      <c r="I552" t="s">
        <v>33</v>
      </c>
    </row>
    <row r="553" spans="1:9" x14ac:dyDescent="0.3">
      <c r="A553" t="s">
        <v>597</v>
      </c>
      <c r="B553" s="9">
        <v>46302</v>
      </c>
      <c r="C553" t="s">
        <v>56</v>
      </c>
      <c r="D553" t="s">
        <v>26</v>
      </c>
      <c r="E553" t="s">
        <v>27</v>
      </c>
      <c r="F553">
        <v>1</v>
      </c>
      <c r="G553" s="4">
        <v>2917</v>
      </c>
      <c r="H553" s="4">
        <f t="shared" si="8"/>
        <v>2917</v>
      </c>
      <c r="I553" t="s">
        <v>28</v>
      </c>
    </row>
    <row r="554" spans="1:9" x14ac:dyDescent="0.3">
      <c r="A554" t="s">
        <v>598</v>
      </c>
      <c r="B554" s="9">
        <v>46299</v>
      </c>
      <c r="C554" t="s">
        <v>56</v>
      </c>
      <c r="D554" t="s">
        <v>36</v>
      </c>
      <c r="E554" t="s">
        <v>46</v>
      </c>
      <c r="F554">
        <v>2</v>
      </c>
      <c r="G554" s="4">
        <v>7838</v>
      </c>
      <c r="H554" s="4">
        <f t="shared" si="8"/>
        <v>15676</v>
      </c>
      <c r="I554" t="s">
        <v>39</v>
      </c>
    </row>
    <row r="555" spans="1:9" x14ac:dyDescent="0.3">
      <c r="A555" t="s">
        <v>599</v>
      </c>
      <c r="B555" s="9">
        <v>46303</v>
      </c>
      <c r="C555" t="s">
        <v>56</v>
      </c>
      <c r="D555" t="s">
        <v>26</v>
      </c>
      <c r="E555" t="s">
        <v>49</v>
      </c>
      <c r="F555">
        <v>8</v>
      </c>
      <c r="G555" s="4">
        <v>455</v>
      </c>
      <c r="H555" s="4">
        <f t="shared" si="8"/>
        <v>3640</v>
      </c>
      <c r="I555" t="s">
        <v>33</v>
      </c>
    </row>
    <row r="556" spans="1:9" x14ac:dyDescent="0.3">
      <c r="A556" t="s">
        <v>600</v>
      </c>
      <c r="B556" s="9">
        <v>46301</v>
      </c>
      <c r="C556" t="s">
        <v>25</v>
      </c>
      <c r="D556" t="s">
        <v>26</v>
      </c>
      <c r="E556" t="s">
        <v>49</v>
      </c>
      <c r="F556">
        <v>6</v>
      </c>
      <c r="G556" s="4">
        <v>1994</v>
      </c>
      <c r="H556" s="4">
        <f t="shared" si="8"/>
        <v>11964</v>
      </c>
      <c r="I556" t="s">
        <v>28</v>
      </c>
    </row>
    <row r="557" spans="1:9" x14ac:dyDescent="0.3">
      <c r="A557" t="s">
        <v>601</v>
      </c>
      <c r="B557" s="9">
        <v>46299</v>
      </c>
      <c r="C557" t="s">
        <v>25</v>
      </c>
      <c r="D557" t="s">
        <v>38</v>
      </c>
      <c r="E557" t="s">
        <v>27</v>
      </c>
      <c r="F557">
        <v>3</v>
      </c>
      <c r="G557" s="4">
        <v>13269</v>
      </c>
      <c r="H557" s="4">
        <f t="shared" si="8"/>
        <v>39807</v>
      </c>
      <c r="I557" t="s">
        <v>33</v>
      </c>
    </row>
    <row r="558" spans="1:9" x14ac:dyDescent="0.3">
      <c r="A558" t="s">
        <v>602</v>
      </c>
      <c r="B558" s="9">
        <v>46310</v>
      </c>
      <c r="C558" t="s">
        <v>54</v>
      </c>
      <c r="D558" t="s">
        <v>38</v>
      </c>
      <c r="E558" t="s">
        <v>49</v>
      </c>
      <c r="F558">
        <v>6</v>
      </c>
      <c r="G558" s="4">
        <v>999</v>
      </c>
      <c r="H558" s="4">
        <f t="shared" si="8"/>
        <v>5994</v>
      </c>
      <c r="I558" t="s">
        <v>33</v>
      </c>
    </row>
    <row r="559" spans="1:9" x14ac:dyDescent="0.3">
      <c r="A559" t="s">
        <v>603</v>
      </c>
      <c r="B559" s="9">
        <v>46308</v>
      </c>
      <c r="C559" t="s">
        <v>56</v>
      </c>
      <c r="D559" t="s">
        <v>26</v>
      </c>
      <c r="E559" t="s">
        <v>32</v>
      </c>
      <c r="F559">
        <v>8</v>
      </c>
      <c r="G559" s="4">
        <v>6752</v>
      </c>
      <c r="H559" s="4">
        <f t="shared" si="8"/>
        <v>54016</v>
      </c>
      <c r="I559" t="s">
        <v>33</v>
      </c>
    </row>
    <row r="560" spans="1:9" x14ac:dyDescent="0.3">
      <c r="A560" t="s">
        <v>604</v>
      </c>
      <c r="B560" s="9">
        <v>46301</v>
      </c>
      <c r="C560" t="s">
        <v>30</v>
      </c>
      <c r="D560" t="s">
        <v>36</v>
      </c>
      <c r="E560" t="s">
        <v>46</v>
      </c>
      <c r="F560">
        <v>3</v>
      </c>
      <c r="G560" s="4">
        <v>7996</v>
      </c>
      <c r="H560" s="4">
        <f t="shared" si="8"/>
        <v>23988</v>
      </c>
      <c r="I560" t="s">
        <v>33</v>
      </c>
    </row>
    <row r="561" spans="1:9" x14ac:dyDescent="0.3">
      <c r="A561" t="s">
        <v>605</v>
      </c>
      <c r="B561" s="9">
        <v>46311</v>
      </c>
      <c r="C561" t="s">
        <v>56</v>
      </c>
      <c r="D561" t="s">
        <v>36</v>
      </c>
      <c r="E561" t="s">
        <v>42</v>
      </c>
      <c r="F561">
        <v>7</v>
      </c>
      <c r="G561" s="4">
        <v>3037</v>
      </c>
      <c r="H561" s="4">
        <f t="shared" si="8"/>
        <v>21259</v>
      </c>
      <c r="I561" t="s">
        <v>33</v>
      </c>
    </row>
    <row r="562" spans="1:9" x14ac:dyDescent="0.3">
      <c r="A562" t="s">
        <v>606</v>
      </c>
      <c r="B562" s="9">
        <v>46300</v>
      </c>
      <c r="C562" t="s">
        <v>56</v>
      </c>
      <c r="D562" t="s">
        <v>41</v>
      </c>
      <c r="E562" t="s">
        <v>46</v>
      </c>
      <c r="F562">
        <v>7</v>
      </c>
      <c r="G562" s="4">
        <v>30080</v>
      </c>
      <c r="H562" s="4">
        <f t="shared" si="8"/>
        <v>210560</v>
      </c>
      <c r="I562" t="s">
        <v>33</v>
      </c>
    </row>
    <row r="563" spans="1:9" x14ac:dyDescent="0.3">
      <c r="A563" t="s">
        <v>607</v>
      </c>
      <c r="B563" s="9">
        <v>46304</v>
      </c>
      <c r="C563" t="s">
        <v>44</v>
      </c>
      <c r="D563" t="s">
        <v>38</v>
      </c>
      <c r="E563" t="s">
        <v>42</v>
      </c>
      <c r="F563">
        <v>4</v>
      </c>
      <c r="G563" s="4">
        <v>2871</v>
      </c>
      <c r="H563" s="4">
        <f t="shared" si="8"/>
        <v>11484</v>
      </c>
      <c r="I563" t="s">
        <v>33</v>
      </c>
    </row>
    <row r="564" spans="1:9" x14ac:dyDescent="0.3">
      <c r="A564" t="s">
        <v>608</v>
      </c>
      <c r="B564" s="9">
        <v>46299</v>
      </c>
      <c r="C564" t="s">
        <v>62</v>
      </c>
      <c r="D564" t="s">
        <v>36</v>
      </c>
      <c r="E564" t="s">
        <v>32</v>
      </c>
      <c r="F564">
        <v>6</v>
      </c>
      <c r="G564" s="4">
        <v>5637</v>
      </c>
      <c r="H564" s="4">
        <f t="shared" si="8"/>
        <v>33822</v>
      </c>
      <c r="I564" t="s">
        <v>28</v>
      </c>
    </row>
    <row r="565" spans="1:9" x14ac:dyDescent="0.3">
      <c r="A565" t="s">
        <v>609</v>
      </c>
      <c r="B565" s="9">
        <v>46308</v>
      </c>
      <c r="C565" t="s">
        <v>48</v>
      </c>
      <c r="D565" t="s">
        <v>31</v>
      </c>
      <c r="E565" t="s">
        <v>42</v>
      </c>
      <c r="F565">
        <v>1</v>
      </c>
      <c r="G565" s="4">
        <v>195</v>
      </c>
      <c r="H565" s="4">
        <f t="shared" si="8"/>
        <v>195</v>
      </c>
      <c r="I565" t="s">
        <v>28</v>
      </c>
    </row>
    <row r="566" spans="1:9" x14ac:dyDescent="0.3">
      <c r="A566" t="s">
        <v>610</v>
      </c>
      <c r="B566" s="9">
        <v>46301</v>
      </c>
      <c r="C566" t="s">
        <v>56</v>
      </c>
      <c r="D566" t="s">
        <v>41</v>
      </c>
      <c r="E566" t="s">
        <v>27</v>
      </c>
      <c r="F566">
        <v>2</v>
      </c>
      <c r="G566" s="4">
        <v>27122</v>
      </c>
      <c r="H566" s="4">
        <f t="shared" si="8"/>
        <v>54244</v>
      </c>
      <c r="I566" t="s">
        <v>33</v>
      </c>
    </row>
    <row r="567" spans="1:9" x14ac:dyDescent="0.3">
      <c r="A567" t="s">
        <v>611</v>
      </c>
      <c r="B567" s="9">
        <v>46303</v>
      </c>
      <c r="C567" t="s">
        <v>44</v>
      </c>
      <c r="D567" t="s">
        <v>26</v>
      </c>
      <c r="E567" t="s">
        <v>46</v>
      </c>
      <c r="F567">
        <v>4</v>
      </c>
      <c r="G567" s="4">
        <v>37277</v>
      </c>
      <c r="H567" s="4">
        <f t="shared" si="8"/>
        <v>149108</v>
      </c>
      <c r="I567" t="s">
        <v>28</v>
      </c>
    </row>
    <row r="568" spans="1:9" x14ac:dyDescent="0.3">
      <c r="A568" t="s">
        <v>612</v>
      </c>
      <c r="B568" s="9">
        <v>46308</v>
      </c>
      <c r="C568" t="s">
        <v>52</v>
      </c>
      <c r="D568" t="s">
        <v>38</v>
      </c>
      <c r="E568" t="s">
        <v>32</v>
      </c>
      <c r="F568">
        <v>8</v>
      </c>
      <c r="G568" s="4">
        <v>6763</v>
      </c>
      <c r="H568" s="4">
        <f t="shared" si="8"/>
        <v>54104</v>
      </c>
      <c r="I568" t="s">
        <v>33</v>
      </c>
    </row>
    <row r="569" spans="1:9" x14ac:dyDescent="0.3">
      <c r="A569" t="s">
        <v>613</v>
      </c>
      <c r="B569" s="9">
        <v>46298</v>
      </c>
      <c r="C569" t="s">
        <v>56</v>
      </c>
      <c r="D569" t="s">
        <v>41</v>
      </c>
      <c r="E569" t="s">
        <v>49</v>
      </c>
      <c r="F569">
        <v>2</v>
      </c>
      <c r="G569" s="4">
        <v>2287</v>
      </c>
      <c r="H569" s="4">
        <f t="shared" si="8"/>
        <v>4574</v>
      </c>
      <c r="I569" t="s">
        <v>28</v>
      </c>
    </row>
    <row r="570" spans="1:9" x14ac:dyDescent="0.3">
      <c r="A570" t="s">
        <v>614</v>
      </c>
      <c r="B570" s="9">
        <v>46296</v>
      </c>
      <c r="C570" t="s">
        <v>30</v>
      </c>
      <c r="D570" t="s">
        <v>41</v>
      </c>
      <c r="E570" t="s">
        <v>32</v>
      </c>
      <c r="F570">
        <v>1</v>
      </c>
      <c r="G570" s="4">
        <v>4764</v>
      </c>
      <c r="H570" s="4">
        <f t="shared" si="8"/>
        <v>4764</v>
      </c>
      <c r="I570" t="s">
        <v>33</v>
      </c>
    </row>
    <row r="571" spans="1:9" x14ac:dyDescent="0.3">
      <c r="A571" t="s">
        <v>615</v>
      </c>
      <c r="B571" s="9">
        <v>46298</v>
      </c>
      <c r="C571" t="s">
        <v>54</v>
      </c>
      <c r="D571" t="s">
        <v>31</v>
      </c>
      <c r="E571" t="s">
        <v>42</v>
      </c>
      <c r="F571">
        <v>4</v>
      </c>
      <c r="G571" s="4">
        <v>5462</v>
      </c>
      <c r="H571" s="4">
        <f t="shared" si="8"/>
        <v>21848</v>
      </c>
      <c r="I571" t="s">
        <v>28</v>
      </c>
    </row>
    <row r="572" spans="1:9" x14ac:dyDescent="0.3">
      <c r="A572" t="s">
        <v>616</v>
      </c>
      <c r="B572" s="9">
        <v>46306</v>
      </c>
      <c r="C572" t="s">
        <v>44</v>
      </c>
      <c r="D572" t="s">
        <v>38</v>
      </c>
      <c r="E572" t="s">
        <v>27</v>
      </c>
      <c r="F572">
        <v>8</v>
      </c>
      <c r="G572" s="4">
        <v>13378</v>
      </c>
      <c r="H572" s="4">
        <f t="shared" si="8"/>
        <v>107024</v>
      </c>
      <c r="I572" t="s">
        <v>33</v>
      </c>
    </row>
    <row r="573" spans="1:9" x14ac:dyDescent="0.3">
      <c r="A573" t="s">
        <v>617</v>
      </c>
      <c r="B573" s="9">
        <v>46311</v>
      </c>
      <c r="C573" t="s">
        <v>44</v>
      </c>
      <c r="D573" t="s">
        <v>41</v>
      </c>
      <c r="E573" t="s">
        <v>46</v>
      </c>
      <c r="F573">
        <v>2</v>
      </c>
      <c r="G573" s="4">
        <v>44382</v>
      </c>
      <c r="H573" s="4">
        <f t="shared" si="8"/>
        <v>88764</v>
      </c>
      <c r="I573" t="s">
        <v>33</v>
      </c>
    </row>
    <row r="574" spans="1:9" x14ac:dyDescent="0.3">
      <c r="A574" t="s">
        <v>618</v>
      </c>
      <c r="B574" s="9">
        <v>46306</v>
      </c>
      <c r="C574" t="s">
        <v>44</v>
      </c>
      <c r="D574" t="s">
        <v>26</v>
      </c>
      <c r="E574" t="s">
        <v>42</v>
      </c>
      <c r="F574">
        <v>6</v>
      </c>
      <c r="G574" s="4">
        <v>970</v>
      </c>
      <c r="H574" s="4">
        <f t="shared" si="8"/>
        <v>5820</v>
      </c>
      <c r="I574" t="s">
        <v>33</v>
      </c>
    </row>
    <row r="575" spans="1:9" x14ac:dyDescent="0.3">
      <c r="A575" t="s">
        <v>619</v>
      </c>
      <c r="B575" s="9">
        <v>46301</v>
      </c>
      <c r="C575" t="s">
        <v>56</v>
      </c>
      <c r="D575" t="s">
        <v>36</v>
      </c>
      <c r="E575" t="s">
        <v>32</v>
      </c>
      <c r="F575">
        <v>2</v>
      </c>
      <c r="G575" s="4">
        <v>2283</v>
      </c>
      <c r="H575" s="4">
        <f t="shared" si="8"/>
        <v>4566</v>
      </c>
      <c r="I575" t="s">
        <v>33</v>
      </c>
    </row>
    <row r="576" spans="1:9" x14ac:dyDescent="0.3">
      <c r="A576" t="s">
        <v>620</v>
      </c>
      <c r="B576" s="9">
        <v>46302</v>
      </c>
      <c r="C576" t="s">
        <v>30</v>
      </c>
      <c r="D576" t="s">
        <v>41</v>
      </c>
      <c r="E576" t="s">
        <v>27</v>
      </c>
      <c r="F576">
        <v>8</v>
      </c>
      <c r="G576" s="4">
        <v>29518</v>
      </c>
      <c r="H576" s="4">
        <f t="shared" si="8"/>
        <v>236144</v>
      </c>
      <c r="I576" t="s">
        <v>39</v>
      </c>
    </row>
    <row r="577" spans="1:9" x14ac:dyDescent="0.3">
      <c r="A577" t="s">
        <v>621</v>
      </c>
      <c r="B577" s="9">
        <v>46306</v>
      </c>
      <c r="C577" t="s">
        <v>30</v>
      </c>
      <c r="D577" t="s">
        <v>41</v>
      </c>
      <c r="E577" t="s">
        <v>46</v>
      </c>
      <c r="F577">
        <v>2</v>
      </c>
      <c r="G577" s="4">
        <v>30724</v>
      </c>
      <c r="H577" s="4">
        <f t="shared" si="8"/>
        <v>61448</v>
      </c>
      <c r="I577" t="s">
        <v>33</v>
      </c>
    </row>
    <row r="578" spans="1:9" x14ac:dyDescent="0.3">
      <c r="A578" t="s">
        <v>622</v>
      </c>
      <c r="B578" s="9">
        <v>46312</v>
      </c>
      <c r="C578" t="s">
        <v>48</v>
      </c>
      <c r="D578" t="s">
        <v>41</v>
      </c>
      <c r="E578" t="s">
        <v>46</v>
      </c>
      <c r="F578">
        <v>1</v>
      </c>
      <c r="G578" s="4">
        <v>37456</v>
      </c>
      <c r="H578" s="4">
        <f t="shared" ref="H578:H601" si="9">F578*G578</f>
        <v>37456</v>
      </c>
      <c r="I578" t="s">
        <v>39</v>
      </c>
    </row>
    <row r="579" spans="1:9" x14ac:dyDescent="0.3">
      <c r="A579" t="s">
        <v>623</v>
      </c>
      <c r="B579" s="9">
        <v>46311</v>
      </c>
      <c r="C579" t="s">
        <v>48</v>
      </c>
      <c r="D579" t="s">
        <v>31</v>
      </c>
      <c r="E579" t="s">
        <v>27</v>
      </c>
      <c r="F579">
        <v>3</v>
      </c>
      <c r="G579" s="4">
        <v>5893</v>
      </c>
      <c r="H579" s="4">
        <f t="shared" si="9"/>
        <v>17679</v>
      </c>
      <c r="I579" t="s">
        <v>33</v>
      </c>
    </row>
    <row r="580" spans="1:9" x14ac:dyDescent="0.3">
      <c r="A580" t="s">
        <v>624</v>
      </c>
      <c r="B580" s="9">
        <v>46306</v>
      </c>
      <c r="C580" t="s">
        <v>62</v>
      </c>
      <c r="D580" t="s">
        <v>41</v>
      </c>
      <c r="E580" t="s">
        <v>42</v>
      </c>
      <c r="F580">
        <v>4</v>
      </c>
      <c r="G580" s="4">
        <v>2341</v>
      </c>
      <c r="H580" s="4">
        <f t="shared" si="9"/>
        <v>9364</v>
      </c>
      <c r="I580" t="s">
        <v>33</v>
      </c>
    </row>
    <row r="581" spans="1:9" x14ac:dyDescent="0.3">
      <c r="A581" t="s">
        <v>625</v>
      </c>
      <c r="B581" s="9">
        <v>46306</v>
      </c>
      <c r="C581" t="s">
        <v>54</v>
      </c>
      <c r="D581" t="s">
        <v>41</v>
      </c>
      <c r="E581" t="s">
        <v>27</v>
      </c>
      <c r="F581">
        <v>3</v>
      </c>
      <c r="G581" s="4">
        <v>16024</v>
      </c>
      <c r="H581" s="4">
        <f t="shared" si="9"/>
        <v>48072</v>
      </c>
      <c r="I581" t="s">
        <v>33</v>
      </c>
    </row>
    <row r="582" spans="1:9" x14ac:dyDescent="0.3">
      <c r="A582" t="s">
        <v>626</v>
      </c>
      <c r="B582" s="9">
        <v>46312</v>
      </c>
      <c r="C582" t="s">
        <v>54</v>
      </c>
      <c r="D582" t="s">
        <v>31</v>
      </c>
      <c r="E582" t="s">
        <v>49</v>
      </c>
      <c r="F582">
        <v>4</v>
      </c>
      <c r="G582" s="4">
        <v>1072</v>
      </c>
      <c r="H582" s="4">
        <f t="shared" si="9"/>
        <v>4288</v>
      </c>
      <c r="I582" t="s">
        <v>33</v>
      </c>
    </row>
    <row r="583" spans="1:9" x14ac:dyDescent="0.3">
      <c r="A583" t="s">
        <v>627</v>
      </c>
      <c r="B583" s="9">
        <v>46305</v>
      </c>
      <c r="C583" t="s">
        <v>44</v>
      </c>
      <c r="D583" t="s">
        <v>36</v>
      </c>
      <c r="E583" t="s">
        <v>27</v>
      </c>
      <c r="F583">
        <v>6</v>
      </c>
      <c r="G583" s="4">
        <v>25776</v>
      </c>
      <c r="H583" s="4">
        <f t="shared" si="9"/>
        <v>154656</v>
      </c>
      <c r="I583" t="s">
        <v>33</v>
      </c>
    </row>
    <row r="584" spans="1:9" x14ac:dyDescent="0.3">
      <c r="A584" t="s">
        <v>628</v>
      </c>
      <c r="B584" s="9">
        <v>46307</v>
      </c>
      <c r="C584" t="s">
        <v>56</v>
      </c>
      <c r="D584" t="s">
        <v>31</v>
      </c>
      <c r="E584" t="s">
        <v>42</v>
      </c>
      <c r="F584">
        <v>7</v>
      </c>
      <c r="G584" s="4">
        <v>4473</v>
      </c>
      <c r="H584" s="4">
        <f t="shared" si="9"/>
        <v>31311</v>
      </c>
      <c r="I584" t="s">
        <v>33</v>
      </c>
    </row>
    <row r="585" spans="1:9" x14ac:dyDescent="0.3">
      <c r="A585" t="s">
        <v>629</v>
      </c>
      <c r="B585" s="9">
        <v>46309</v>
      </c>
      <c r="C585" t="s">
        <v>25</v>
      </c>
      <c r="D585" t="s">
        <v>31</v>
      </c>
      <c r="E585" t="s">
        <v>46</v>
      </c>
      <c r="F585">
        <v>1</v>
      </c>
      <c r="G585" s="4">
        <v>26160</v>
      </c>
      <c r="H585" s="4">
        <f t="shared" si="9"/>
        <v>26160</v>
      </c>
      <c r="I585" t="s">
        <v>33</v>
      </c>
    </row>
    <row r="586" spans="1:9" x14ac:dyDescent="0.3">
      <c r="A586" t="s">
        <v>630</v>
      </c>
      <c r="B586" s="9">
        <v>46297</v>
      </c>
      <c r="C586" t="s">
        <v>52</v>
      </c>
      <c r="D586" t="s">
        <v>26</v>
      </c>
      <c r="E586" t="s">
        <v>27</v>
      </c>
      <c r="F586">
        <v>5</v>
      </c>
      <c r="G586" s="4">
        <v>24893</v>
      </c>
      <c r="H586" s="4">
        <f t="shared" si="9"/>
        <v>124465</v>
      </c>
      <c r="I586" t="s">
        <v>33</v>
      </c>
    </row>
    <row r="587" spans="1:9" x14ac:dyDescent="0.3">
      <c r="A587" t="s">
        <v>631</v>
      </c>
      <c r="B587" s="9">
        <v>46297</v>
      </c>
      <c r="C587" t="s">
        <v>54</v>
      </c>
      <c r="D587" t="s">
        <v>36</v>
      </c>
      <c r="E587" t="s">
        <v>42</v>
      </c>
      <c r="F587">
        <v>1</v>
      </c>
      <c r="G587" s="4">
        <v>3038</v>
      </c>
      <c r="H587" s="4">
        <f t="shared" si="9"/>
        <v>3038</v>
      </c>
      <c r="I587" t="s">
        <v>39</v>
      </c>
    </row>
    <row r="588" spans="1:9" x14ac:dyDescent="0.3">
      <c r="A588" t="s">
        <v>632</v>
      </c>
      <c r="B588" s="9">
        <v>46299</v>
      </c>
      <c r="C588" t="s">
        <v>52</v>
      </c>
      <c r="D588" t="s">
        <v>31</v>
      </c>
      <c r="E588" t="s">
        <v>32</v>
      </c>
      <c r="F588">
        <v>4</v>
      </c>
      <c r="G588" s="4">
        <v>4385</v>
      </c>
      <c r="H588" s="4">
        <f t="shared" si="9"/>
        <v>17540</v>
      </c>
      <c r="I588" t="s">
        <v>39</v>
      </c>
    </row>
    <row r="589" spans="1:9" x14ac:dyDescent="0.3">
      <c r="A589" t="s">
        <v>633</v>
      </c>
      <c r="B589" s="9">
        <v>46305</v>
      </c>
      <c r="C589" t="s">
        <v>25</v>
      </c>
      <c r="D589" t="s">
        <v>41</v>
      </c>
      <c r="E589" t="s">
        <v>32</v>
      </c>
      <c r="F589">
        <v>7</v>
      </c>
      <c r="G589" s="4">
        <v>6656</v>
      </c>
      <c r="H589" s="4">
        <f t="shared" si="9"/>
        <v>46592</v>
      </c>
      <c r="I589" t="s">
        <v>79</v>
      </c>
    </row>
    <row r="590" spans="1:9" x14ac:dyDescent="0.3">
      <c r="A590" t="s">
        <v>634</v>
      </c>
      <c r="B590" s="9">
        <v>46306</v>
      </c>
      <c r="C590" t="s">
        <v>25</v>
      </c>
      <c r="D590" t="s">
        <v>38</v>
      </c>
      <c r="E590" t="s">
        <v>49</v>
      </c>
      <c r="F590">
        <v>4</v>
      </c>
      <c r="G590" s="4">
        <v>2791</v>
      </c>
      <c r="H590" s="4">
        <f t="shared" si="9"/>
        <v>11164</v>
      </c>
      <c r="I590" t="s">
        <v>39</v>
      </c>
    </row>
    <row r="591" spans="1:9" x14ac:dyDescent="0.3">
      <c r="A591" t="s">
        <v>635</v>
      </c>
      <c r="B591" s="9">
        <v>46310</v>
      </c>
      <c r="C591" t="s">
        <v>52</v>
      </c>
      <c r="D591" t="s">
        <v>26</v>
      </c>
      <c r="E591" t="s">
        <v>42</v>
      </c>
      <c r="F591">
        <v>4</v>
      </c>
      <c r="G591" s="4">
        <v>1685</v>
      </c>
      <c r="H591" s="4">
        <f t="shared" si="9"/>
        <v>6740</v>
      </c>
      <c r="I591" t="s">
        <v>33</v>
      </c>
    </row>
    <row r="592" spans="1:9" x14ac:dyDescent="0.3">
      <c r="A592" t="s">
        <v>636</v>
      </c>
      <c r="B592" s="9">
        <v>46301</v>
      </c>
      <c r="C592" t="s">
        <v>30</v>
      </c>
      <c r="D592" t="s">
        <v>36</v>
      </c>
      <c r="E592" t="s">
        <v>27</v>
      </c>
      <c r="F592">
        <v>2</v>
      </c>
      <c r="G592" s="4">
        <v>14860</v>
      </c>
      <c r="H592" s="4">
        <f t="shared" si="9"/>
        <v>29720</v>
      </c>
      <c r="I592" t="s">
        <v>33</v>
      </c>
    </row>
    <row r="593" spans="1:9" x14ac:dyDescent="0.3">
      <c r="A593" t="s">
        <v>637</v>
      </c>
      <c r="B593" s="9">
        <v>46304</v>
      </c>
      <c r="C593" t="s">
        <v>54</v>
      </c>
      <c r="D593" t="s">
        <v>36</v>
      </c>
      <c r="E593" t="s">
        <v>27</v>
      </c>
      <c r="F593">
        <v>5</v>
      </c>
      <c r="G593" s="4">
        <v>2684</v>
      </c>
      <c r="H593" s="4">
        <f t="shared" si="9"/>
        <v>13420</v>
      </c>
      <c r="I593" t="s">
        <v>33</v>
      </c>
    </row>
    <row r="594" spans="1:9" x14ac:dyDescent="0.3">
      <c r="A594" t="s">
        <v>638</v>
      </c>
      <c r="B594" s="9">
        <v>46300</v>
      </c>
      <c r="C594" t="s">
        <v>25</v>
      </c>
      <c r="D594" t="s">
        <v>36</v>
      </c>
      <c r="E594" t="s">
        <v>49</v>
      </c>
      <c r="F594">
        <v>1</v>
      </c>
      <c r="G594" s="4">
        <v>3418</v>
      </c>
      <c r="H594" s="4">
        <f t="shared" si="9"/>
        <v>3418</v>
      </c>
      <c r="I594" t="s">
        <v>39</v>
      </c>
    </row>
    <row r="595" spans="1:9" x14ac:dyDescent="0.3">
      <c r="A595" t="s">
        <v>639</v>
      </c>
      <c r="B595" s="9">
        <v>46305</v>
      </c>
      <c r="C595" t="s">
        <v>56</v>
      </c>
      <c r="D595" t="s">
        <v>31</v>
      </c>
      <c r="E595" t="s">
        <v>42</v>
      </c>
      <c r="F595">
        <v>6</v>
      </c>
      <c r="G595" s="4">
        <v>697</v>
      </c>
      <c r="H595" s="4">
        <f t="shared" si="9"/>
        <v>4182</v>
      </c>
      <c r="I595" t="s">
        <v>39</v>
      </c>
    </row>
    <row r="596" spans="1:9" x14ac:dyDescent="0.3">
      <c r="A596" t="s">
        <v>640</v>
      </c>
      <c r="B596" s="9">
        <v>46306</v>
      </c>
      <c r="C596" t="s">
        <v>52</v>
      </c>
      <c r="D596" t="s">
        <v>36</v>
      </c>
      <c r="E596" t="s">
        <v>42</v>
      </c>
      <c r="F596">
        <v>2</v>
      </c>
      <c r="G596" s="4">
        <v>4238</v>
      </c>
      <c r="H596" s="4">
        <f t="shared" si="9"/>
        <v>8476</v>
      </c>
      <c r="I596" t="s">
        <v>33</v>
      </c>
    </row>
    <row r="597" spans="1:9" x14ac:dyDescent="0.3">
      <c r="A597" t="s">
        <v>641</v>
      </c>
      <c r="B597" s="9">
        <v>46313</v>
      </c>
      <c r="C597" t="s">
        <v>62</v>
      </c>
      <c r="D597" t="s">
        <v>38</v>
      </c>
      <c r="E597" t="s">
        <v>49</v>
      </c>
      <c r="F597">
        <v>4</v>
      </c>
      <c r="G597" s="4">
        <v>1123</v>
      </c>
      <c r="H597" s="4">
        <f t="shared" si="9"/>
        <v>4492</v>
      </c>
      <c r="I597" t="s">
        <v>28</v>
      </c>
    </row>
    <row r="598" spans="1:9" x14ac:dyDescent="0.3">
      <c r="A598" t="s">
        <v>642</v>
      </c>
      <c r="B598" s="9">
        <v>46306</v>
      </c>
      <c r="C598" t="s">
        <v>44</v>
      </c>
      <c r="D598" t="s">
        <v>26</v>
      </c>
      <c r="E598" t="s">
        <v>27</v>
      </c>
      <c r="F598">
        <v>8</v>
      </c>
      <c r="G598" s="4">
        <v>20893</v>
      </c>
      <c r="H598" s="4">
        <f t="shared" si="9"/>
        <v>167144</v>
      </c>
      <c r="I598" t="s">
        <v>39</v>
      </c>
    </row>
    <row r="599" spans="1:9" x14ac:dyDescent="0.3">
      <c r="A599" t="s">
        <v>643</v>
      </c>
      <c r="B599" s="9">
        <v>46296</v>
      </c>
      <c r="C599" t="s">
        <v>30</v>
      </c>
      <c r="D599" t="s">
        <v>26</v>
      </c>
      <c r="E599" t="s">
        <v>32</v>
      </c>
      <c r="F599">
        <v>4</v>
      </c>
      <c r="G599" s="4">
        <v>7609</v>
      </c>
      <c r="H599" s="4">
        <f t="shared" si="9"/>
        <v>30436</v>
      </c>
      <c r="I599" t="s">
        <v>28</v>
      </c>
    </row>
    <row r="600" spans="1:9" x14ac:dyDescent="0.3">
      <c r="A600" t="s">
        <v>644</v>
      </c>
      <c r="B600" s="9">
        <v>46303</v>
      </c>
      <c r="C600" t="s">
        <v>25</v>
      </c>
      <c r="D600" t="s">
        <v>26</v>
      </c>
      <c r="E600" t="s">
        <v>32</v>
      </c>
      <c r="F600">
        <v>2</v>
      </c>
      <c r="G600" s="4">
        <v>3361</v>
      </c>
      <c r="H600" s="4">
        <f t="shared" si="9"/>
        <v>6722</v>
      </c>
      <c r="I600" t="s">
        <v>33</v>
      </c>
    </row>
    <row r="601" spans="1:9" x14ac:dyDescent="0.3">
      <c r="A601" t="s">
        <v>645</v>
      </c>
      <c r="B601" s="9">
        <v>46305</v>
      </c>
      <c r="C601" t="s">
        <v>25</v>
      </c>
      <c r="D601" t="s">
        <v>31</v>
      </c>
      <c r="E601" t="s">
        <v>49</v>
      </c>
      <c r="F601">
        <v>8</v>
      </c>
      <c r="G601" s="4">
        <v>2243</v>
      </c>
      <c r="H601" s="4">
        <f t="shared" si="9"/>
        <v>17944</v>
      </c>
      <c r="I601" t="s">
        <v>33</v>
      </c>
    </row>
  </sheetData>
  <pageMargins left="0.75" right="0.75" top="1" bottom="1" header="0.5" footer="0.5"/>
  <pageSetup fitToHeight="0"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9"/>
  <sheetViews>
    <sheetView showGridLines="0" zoomScale="79" zoomScaleNormal="79" workbookViewId="0">
      <selection activeCell="D11" sqref="D11"/>
    </sheetView>
  </sheetViews>
  <sheetFormatPr defaultRowHeight="14.4" x14ac:dyDescent="0.3"/>
  <cols>
    <col min="1" max="3" width="22" customWidth="1"/>
    <col min="4" max="4" width="65" customWidth="1"/>
    <col min="5" max="5" width="22" customWidth="1"/>
    <col min="6" max="6" width="20" customWidth="1"/>
  </cols>
  <sheetData>
    <row r="1" spans="1:6" ht="21" x14ac:dyDescent="0.4">
      <c r="A1" s="43" t="s">
        <v>646</v>
      </c>
      <c r="B1" s="44"/>
    </row>
    <row r="2" spans="1:6" x14ac:dyDescent="0.3">
      <c r="A2" s="10" t="s">
        <v>647</v>
      </c>
      <c r="B2" s="11">
        <f>SUMIFS(Cleaned_Data!H:H,Cleaned_Data!B:B,F3)</f>
        <v>1338034</v>
      </c>
      <c r="D2" s="36" t="s">
        <v>648</v>
      </c>
      <c r="F2" s="37" t="s">
        <v>659</v>
      </c>
    </row>
    <row r="3" spans="1:6" x14ac:dyDescent="0.3">
      <c r="A3" s="10" t="s">
        <v>649</v>
      </c>
      <c r="B3" s="12">
        <f>COUNTIFS(Cleaned_Data!B:B,F3)</f>
        <v>32</v>
      </c>
      <c r="D3" s="28" t="s">
        <v>650</v>
      </c>
      <c r="F3" s="19">
        <v>46313</v>
      </c>
    </row>
    <row r="4" spans="1:6" x14ac:dyDescent="0.3">
      <c r="A4" s="10" t="s">
        <v>651</v>
      </c>
      <c r="B4" s="12">
        <f>COUNTIFS(Cleaned_Data!B:B,F3,Cleaned_Data!I:I,"Pending")</f>
        <v>7</v>
      </c>
    </row>
    <row r="5" spans="1:6" x14ac:dyDescent="0.3">
      <c r="A5" s="10" t="s">
        <v>652</v>
      </c>
      <c r="B5" s="11">
        <v>150000</v>
      </c>
    </row>
    <row r="6" spans="1:6" x14ac:dyDescent="0.3">
      <c r="A6" s="10" t="s">
        <v>653</v>
      </c>
      <c r="B6" s="13">
        <f>IFERROR(B2/B5,0)</f>
        <v>8.9202266666666663</v>
      </c>
    </row>
    <row r="7" spans="1:6" x14ac:dyDescent="0.3">
      <c r="A7" s="10" t="s">
        <v>654</v>
      </c>
      <c r="B7" s="11">
        <f>MAX(B5-B2,0)</f>
        <v>0</v>
      </c>
    </row>
    <row r="8" spans="1:6" x14ac:dyDescent="0.3">
      <c r="A8" s="14" t="s">
        <v>660</v>
      </c>
      <c r="B8" s="15" t="str">
        <f>IF(B6&gt;=1,"Target Achieved","Target Not Achieved")</f>
        <v>Target Achieved</v>
      </c>
    </row>
    <row r="9" spans="1:6" x14ac:dyDescent="0.3">
      <c r="A9" s="29" t="s">
        <v>677</v>
      </c>
      <c r="B9" s="18">
        <f>COUNTIF(Cleaned_Data!I2:I601,"Delivered")</f>
        <v>376</v>
      </c>
    </row>
  </sheetData>
  <mergeCells count="1">
    <mergeCell ref="A1:B1"/>
  </mergeCell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9"/>
  <sheetViews>
    <sheetView showGridLines="0" workbookViewId="0">
      <pane ySplit="1" topLeftCell="A2" activePane="bottomLeft" state="frozen"/>
      <selection pane="bottomLeft" activeCell="C4" sqref="C4"/>
    </sheetView>
  </sheetViews>
  <sheetFormatPr defaultRowHeight="14.4" x14ac:dyDescent="0.3"/>
  <cols>
    <col min="1" max="1" width="22" customWidth="1"/>
    <col min="2" max="3" width="22" style="17" customWidth="1"/>
    <col min="4" max="4" width="22" customWidth="1"/>
    <col min="5" max="5" width="22" style="17" customWidth="1"/>
    <col min="6" max="6" width="22.77734375" customWidth="1"/>
  </cols>
  <sheetData>
    <row r="1" spans="1:6" x14ac:dyDescent="0.3">
      <c r="A1" s="6" t="s">
        <v>17</v>
      </c>
      <c r="B1" s="16" t="s">
        <v>655</v>
      </c>
      <c r="C1" s="16" t="s">
        <v>656</v>
      </c>
      <c r="D1" s="6" t="s">
        <v>657</v>
      </c>
      <c r="E1" s="16" t="s">
        <v>658</v>
      </c>
      <c r="F1" t="s">
        <v>661</v>
      </c>
    </row>
    <row r="2" spans="1:6" x14ac:dyDescent="0.3">
      <c r="A2" t="s">
        <v>25</v>
      </c>
      <c r="B2" s="17">
        <v>500000</v>
      </c>
      <c r="C2" s="17">
        <f>SUMIF(Cleaned_Data!C:C,A2,Cleaned_Data!H:H)</f>
        <v>3364488</v>
      </c>
      <c r="D2" s="7">
        <f t="shared" ref="D2:D9" si="0">IFERROR(C2/B2,0)</f>
        <v>6.7289760000000003</v>
      </c>
      <c r="E2" s="17">
        <f t="shared" ref="E2:E9" si="1">MAX(B2-C2,0)</f>
        <v>0</v>
      </c>
      <c r="F2" t="str">
        <f t="shared" ref="F2:F9" si="2">IF(D2&gt;=1,"Target Achieved",IF(D2&gt;=0.8,"Near Target","Below Target"))</f>
        <v>Target Achieved</v>
      </c>
    </row>
    <row r="3" spans="1:6" x14ac:dyDescent="0.3">
      <c r="A3" t="s">
        <v>30</v>
      </c>
      <c r="B3" s="17">
        <v>500000</v>
      </c>
      <c r="C3" s="17">
        <f>SUMIF(Cleaned_Data!C:C,A3,Cleaned_Data!H:H)</f>
        <v>4025360</v>
      </c>
      <c r="D3" s="7">
        <f t="shared" si="0"/>
        <v>8.0507200000000001</v>
      </c>
      <c r="E3" s="17">
        <f t="shared" si="1"/>
        <v>0</v>
      </c>
      <c r="F3" t="str">
        <f t="shared" si="2"/>
        <v>Target Achieved</v>
      </c>
    </row>
    <row r="4" spans="1:6" x14ac:dyDescent="0.3">
      <c r="A4" t="s">
        <v>48</v>
      </c>
      <c r="B4" s="17">
        <v>500000</v>
      </c>
      <c r="C4" s="17">
        <f>SUMIF(Cleaned_Data!C:C,A4,Cleaned_Data!H:H)</f>
        <v>2672174</v>
      </c>
      <c r="D4" s="7">
        <f t="shared" si="0"/>
        <v>5.3443480000000001</v>
      </c>
      <c r="E4" s="17">
        <f t="shared" si="1"/>
        <v>0</v>
      </c>
      <c r="F4" t="str">
        <f t="shared" si="2"/>
        <v>Target Achieved</v>
      </c>
    </row>
    <row r="5" spans="1:6" x14ac:dyDescent="0.3">
      <c r="A5" t="s">
        <v>52</v>
      </c>
      <c r="B5" s="17">
        <v>500000</v>
      </c>
      <c r="C5" s="17">
        <f>SUMIF(Cleaned_Data!C:C,A5,Cleaned_Data!H:H)</f>
        <v>3413061</v>
      </c>
      <c r="D5" s="7">
        <f t="shared" si="0"/>
        <v>6.8261219999999998</v>
      </c>
      <c r="E5" s="17">
        <f t="shared" si="1"/>
        <v>0</v>
      </c>
      <c r="F5" t="str">
        <f t="shared" si="2"/>
        <v>Target Achieved</v>
      </c>
    </row>
    <row r="6" spans="1:6" x14ac:dyDescent="0.3">
      <c r="A6" t="s">
        <v>54</v>
      </c>
      <c r="B6" s="17">
        <v>500000</v>
      </c>
      <c r="C6" s="17">
        <f>SUMIF(Cleaned_Data!C:C,A6,Cleaned_Data!H:H)</f>
        <v>3448677</v>
      </c>
      <c r="D6" s="7">
        <f t="shared" si="0"/>
        <v>6.897354</v>
      </c>
      <c r="E6" s="17">
        <f t="shared" si="1"/>
        <v>0</v>
      </c>
      <c r="F6" t="str">
        <f t="shared" si="2"/>
        <v>Target Achieved</v>
      </c>
    </row>
    <row r="7" spans="1:6" x14ac:dyDescent="0.3">
      <c r="A7" t="s">
        <v>44</v>
      </c>
      <c r="B7" s="17">
        <v>500000</v>
      </c>
      <c r="C7" s="17">
        <f>SUMIF(Cleaned_Data!C:C,A7,Cleaned_Data!H:H)</f>
        <v>3454730</v>
      </c>
      <c r="D7" s="7">
        <f t="shared" si="0"/>
        <v>6.9094600000000002</v>
      </c>
      <c r="E7" s="17">
        <f t="shared" si="1"/>
        <v>0</v>
      </c>
      <c r="F7" t="str">
        <f t="shared" si="2"/>
        <v>Target Achieved</v>
      </c>
    </row>
    <row r="8" spans="1:6" x14ac:dyDescent="0.3">
      <c r="A8" t="s">
        <v>62</v>
      </c>
      <c r="B8" s="17">
        <v>500000</v>
      </c>
      <c r="C8" s="17">
        <f>SUMIF(Cleaned_Data!C:C,A8,Cleaned_Data!H:H)</f>
        <v>2651928</v>
      </c>
      <c r="D8" s="7">
        <f t="shared" si="0"/>
        <v>5.3038559999999997</v>
      </c>
      <c r="E8" s="17">
        <f t="shared" si="1"/>
        <v>0</v>
      </c>
      <c r="F8" t="str">
        <f t="shared" si="2"/>
        <v>Target Achieved</v>
      </c>
    </row>
    <row r="9" spans="1:6" x14ac:dyDescent="0.3">
      <c r="A9" t="s">
        <v>56</v>
      </c>
      <c r="B9" s="17">
        <v>500000</v>
      </c>
      <c r="C9" s="17">
        <f>SUMIF(Cleaned_Data!C:C,A9,Cleaned_Data!H:H)</f>
        <v>3693817</v>
      </c>
      <c r="D9" s="7">
        <f t="shared" si="0"/>
        <v>7.3876340000000003</v>
      </c>
      <c r="E9" s="17">
        <f t="shared" si="1"/>
        <v>0</v>
      </c>
      <c r="F9" t="str">
        <f t="shared" si="2"/>
        <v>Target Achieved</v>
      </c>
    </row>
  </sheetData>
  <conditionalFormatting sqref="D2:D9">
    <cfRule type="dataBar" priority="1">
      <dataBar>
        <cfvo type="min"/>
        <cfvo type="max"/>
        <color rgb="FF638EC6"/>
      </dataBar>
      <extLst>
        <ext xmlns:x14="http://schemas.microsoft.com/office/spreadsheetml/2009/9/main" uri="{B025F937-C7B1-47D3-B67F-A62EFF666E3E}">
          <x14:id>{7528B9CC-58CF-4548-B134-A8AF44326709}</x14:id>
        </ext>
      </extLst>
    </cfRule>
  </conditionalFormatting>
  <pageMargins left="0.75" right="0.75" top="1" bottom="1" header="0.5" footer="0.5"/>
  <pageSetup fitToHeight="0" orientation="landscape"/>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528B9CC-58CF-4548-B134-A8AF44326709}">
            <x14:dataBar minLength="0" maxLength="100" gradient="0">
              <x14:cfvo type="autoMin"/>
              <x14:cfvo type="autoMax"/>
              <x14:negativeFillColor rgb="FFFF0000"/>
              <x14:axisColor rgb="FF000000"/>
            </x14:dataBar>
          </x14:cfRule>
          <xm:sqref>D2:D9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BC0C-C7E3-4A36-B31D-094EBF1AC55F}">
  <dimension ref="A1:C5"/>
  <sheetViews>
    <sheetView workbookViewId="0">
      <selection activeCell="D6" sqref="D6"/>
    </sheetView>
  </sheetViews>
  <sheetFormatPr defaultRowHeight="14.4" x14ac:dyDescent="0.3"/>
  <cols>
    <col min="1" max="1" width="20.21875" bestFit="1" customWidth="1"/>
    <col min="2" max="2" width="6.109375" bestFit="1" customWidth="1"/>
    <col min="3" max="3" width="11.77734375" bestFit="1" customWidth="1"/>
    <col min="4" max="4" width="23.44140625" customWidth="1"/>
    <col min="5" max="5" width="15.77734375" customWidth="1"/>
    <col min="6" max="6" width="24.33203125" customWidth="1"/>
  </cols>
  <sheetData>
    <row r="1" spans="1:3" ht="15" thickBot="1" x14ac:dyDescent="0.35">
      <c r="A1" s="25" t="s">
        <v>671</v>
      </c>
      <c r="B1" s="26" t="s">
        <v>672</v>
      </c>
      <c r="C1" s="27" t="s">
        <v>676</v>
      </c>
    </row>
    <row r="2" spans="1:3" x14ac:dyDescent="0.3">
      <c r="A2" s="24" t="s">
        <v>649</v>
      </c>
      <c r="B2" s="24">
        <f>COUNTA(Cleaned_Data!A:A)-1</f>
        <v>600</v>
      </c>
      <c r="C2" s="24" t="str">
        <f>IF(B2=600,"PASS","CHECK")</f>
        <v>PASS</v>
      </c>
    </row>
    <row r="3" spans="1:3" x14ac:dyDescent="0.3">
      <c r="A3" s="18" t="s">
        <v>673</v>
      </c>
      <c r="B3" s="18" cm="1">
        <f t="array" ref="B3">SUMPRODUCT((Cleaned_Data!A2:A1000&lt;&gt;"")*(COUNTIF(Cleaned_Data!A2:A1000,Cleaned_Data!A2:A1000)&gt;1))</f>
        <v>0</v>
      </c>
      <c r="C3" s="18" t="str">
        <f>IF(B3=0,"PASS","CHECK")</f>
        <v>PASS</v>
      </c>
    </row>
    <row r="4" spans="1:3" x14ac:dyDescent="0.3">
      <c r="A4" s="18" t="s">
        <v>674</v>
      </c>
      <c r="B4" s="18">
        <f>COUNTBLANK(Cleaned_Data!A2:A601)</f>
        <v>0</v>
      </c>
      <c r="C4" s="18" t="str">
        <f>IF(B4=0,"PASS","CHECK")</f>
        <v>PASS</v>
      </c>
    </row>
    <row r="5" spans="1:3" x14ac:dyDescent="0.3">
      <c r="A5" s="18" t="s">
        <v>675</v>
      </c>
      <c r="B5" s="18">
        <f>COUNTBLANK(Cleaned_Data!C2:C601)</f>
        <v>0</v>
      </c>
      <c r="C5" s="18" t="str">
        <f>IF(B5=0,"PASS","CHECK")</f>
        <v>PASS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Raw_Data</vt:lpstr>
      <vt:lpstr>Weekly_report</vt:lpstr>
      <vt:lpstr>Region_Report</vt:lpstr>
      <vt:lpstr>Category_Report</vt:lpstr>
      <vt:lpstr>Dashboard</vt:lpstr>
      <vt:lpstr>Cleaned_Data</vt:lpstr>
      <vt:lpstr>Daily_MIS</vt:lpstr>
      <vt:lpstr>Employee_Performance</vt:lpstr>
      <vt:lpstr>Error_Checks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VIGNESH KARNAN</cp:lastModifiedBy>
  <dcterms:created xsi:type="dcterms:W3CDTF">2026-10-18T08:36:53Z</dcterms:created>
  <dcterms:modified xsi:type="dcterms:W3CDTF">2026-10-20T10:59:24Z</dcterms:modified>
</cp:coreProperties>
</file>